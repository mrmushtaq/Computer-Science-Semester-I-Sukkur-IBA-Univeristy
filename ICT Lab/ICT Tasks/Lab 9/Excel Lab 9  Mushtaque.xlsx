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AB tasks Pf\ICT Tasks\Lab 9\"/>
    </mc:Choice>
  </mc:AlternateContent>
  <bookViews>
    <workbookView xWindow="-120" yWindow="-120" windowWidth="20730" windowHeight="11160" tabRatio="605" firstSheet="1" activeTab="6"/>
  </bookViews>
  <sheets>
    <sheet name="Payroll" sheetId="1" r:id="rId1"/>
    <sheet name="Call Statistics" sheetId="2" r:id="rId2"/>
    <sheet name="Panda EST" sheetId="3" r:id="rId3"/>
    <sheet name="Task 4" sheetId="4" r:id="rId4"/>
    <sheet name="Task 5" sheetId="5" r:id="rId5"/>
    <sheet name="Task 6" sheetId="6" r:id="rId6"/>
    <sheet name="Task 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7" l="1"/>
  <c r="D14" i="7" l="1"/>
  <c r="E14" i="7"/>
  <c r="C14" i="7"/>
  <c r="D13" i="7"/>
  <c r="E13" i="7"/>
  <c r="C13" i="7"/>
  <c r="H41" i="6" l="1"/>
  <c r="D41" i="6"/>
  <c r="E41" i="6"/>
  <c r="F41" i="6"/>
  <c r="G41" i="6"/>
  <c r="C41" i="6"/>
  <c r="E11" i="7" l="1"/>
  <c r="E10" i="7"/>
  <c r="D10" i="7"/>
  <c r="D11" i="7" s="1"/>
  <c r="E8" i="7"/>
  <c r="D8" i="7"/>
  <c r="C8" i="7"/>
  <c r="C10" i="7" s="1"/>
  <c r="C11" i="7" s="1"/>
  <c r="G7" i="7"/>
  <c r="F7" i="7"/>
  <c r="G6" i="7"/>
  <c r="F6" i="7"/>
  <c r="G5" i="7"/>
  <c r="F5" i="7"/>
  <c r="G4" i="7"/>
  <c r="F4" i="7"/>
  <c r="F3" i="7"/>
  <c r="D3" i="4" l="1"/>
  <c r="D4" i="4"/>
  <c r="D5" i="4"/>
  <c r="D6" i="4"/>
  <c r="D7" i="4"/>
  <c r="D8" i="4"/>
  <c r="D9" i="4"/>
  <c r="D2" i="4"/>
  <c r="C12" i="4" s="1"/>
  <c r="C16" i="5" l="1"/>
  <c r="D16" i="5"/>
  <c r="E16" i="5"/>
  <c r="F16" i="5"/>
  <c r="C15" i="5"/>
  <c r="D15" i="5"/>
  <c r="E15" i="5"/>
  <c r="F15" i="5"/>
  <c r="C14" i="5"/>
  <c r="D14" i="5"/>
  <c r="E14" i="5"/>
  <c r="F14" i="5"/>
  <c r="C13" i="5"/>
  <c r="D13" i="5"/>
  <c r="E13" i="5"/>
  <c r="F13" i="5"/>
  <c r="B13" i="5"/>
  <c r="B15" i="5"/>
  <c r="B16" i="5"/>
  <c r="B14" i="5"/>
  <c r="C11" i="4"/>
  <c r="C14" i="4"/>
  <c r="C13" i="4"/>
  <c r="G3" i="4"/>
  <c r="G4" i="4"/>
  <c r="G5" i="4"/>
  <c r="G7" i="4"/>
  <c r="G8" i="4"/>
  <c r="G9" i="4"/>
  <c r="F3" i="4"/>
  <c r="F4" i="4"/>
  <c r="F5" i="4"/>
  <c r="F6" i="4"/>
  <c r="G6" i="4" s="1"/>
  <c r="F7" i="4"/>
  <c r="F8" i="4"/>
  <c r="F9" i="4"/>
  <c r="F2" i="4"/>
  <c r="G2" i="4" s="1"/>
  <c r="E3" i="4"/>
  <c r="E4" i="4"/>
  <c r="E5" i="4"/>
  <c r="E6" i="4"/>
  <c r="E7" i="4"/>
  <c r="E8" i="4"/>
  <c r="E9" i="4"/>
  <c r="E2" i="4"/>
  <c r="C12" i="3"/>
  <c r="E13" i="3"/>
  <c r="E16" i="3" l="1"/>
  <c r="D16" i="3"/>
  <c r="C16" i="3"/>
  <c r="E15" i="3"/>
  <c r="D15" i="3"/>
  <c r="C15" i="3"/>
  <c r="E14" i="3"/>
  <c r="D14" i="3"/>
  <c r="C14" i="3"/>
  <c r="D13" i="3"/>
  <c r="C13" i="3"/>
  <c r="E12" i="3"/>
  <c r="D12" i="3"/>
  <c r="E6" i="3"/>
  <c r="F6" i="3" s="1"/>
  <c r="E7" i="3"/>
  <c r="E8" i="3"/>
  <c r="F8" i="3" s="1"/>
  <c r="E9" i="3"/>
  <c r="F9" i="3" s="1"/>
  <c r="E10" i="3"/>
  <c r="E5" i="3"/>
  <c r="F5" i="3" s="1"/>
  <c r="F7" i="3"/>
  <c r="F10" i="3"/>
  <c r="F13" i="3" l="1"/>
  <c r="F12" i="3"/>
  <c r="F14" i="3"/>
  <c r="F15" i="3"/>
  <c r="F16" i="3"/>
  <c r="E8" i="2"/>
  <c r="E7" i="2"/>
  <c r="E6" i="2"/>
  <c r="E5" i="2"/>
  <c r="E4" i="2"/>
  <c r="D5" i="2"/>
  <c r="D6" i="2"/>
  <c r="D7" i="2"/>
  <c r="D8" i="2"/>
  <c r="D4" i="2"/>
  <c r="B10" i="2"/>
  <c r="C10" i="2"/>
  <c r="G5" i="1"/>
  <c r="G6" i="1"/>
  <c r="G7" i="1"/>
  <c r="G8" i="1"/>
  <c r="G4" i="1"/>
  <c r="F5" i="1"/>
  <c r="F6" i="1"/>
  <c r="F7" i="1"/>
  <c r="F8" i="1"/>
  <c r="F4" i="1"/>
  <c r="E5" i="1"/>
  <c r="E6" i="1"/>
  <c r="E7" i="1"/>
  <c r="E8" i="1"/>
  <c r="E4" i="1"/>
  <c r="B2" i="1"/>
  <c r="E10" i="2" l="1"/>
  <c r="D10" i="2"/>
</calcChain>
</file>

<file path=xl/sharedStrings.xml><?xml version="1.0" encoding="utf-8"?>
<sst xmlns="http://schemas.openxmlformats.org/spreadsheetml/2006/main" count="149" uniqueCount="123">
  <si>
    <t>Payroll</t>
  </si>
  <si>
    <t>Date:</t>
  </si>
  <si>
    <t>EMPL Number</t>
  </si>
  <si>
    <t>EMPL Name</t>
  </si>
  <si>
    <t>Hourly Rate</t>
  </si>
  <si>
    <t>Gross Pay</t>
  </si>
  <si>
    <t>S.S Tax</t>
  </si>
  <si>
    <t>Net Pay</t>
  </si>
  <si>
    <t>E0001</t>
  </si>
  <si>
    <t>E0002</t>
  </si>
  <si>
    <t>Ford</t>
  </si>
  <si>
    <t>Mino</t>
  </si>
  <si>
    <t>Bell</t>
  </si>
  <si>
    <t>Devis</t>
  </si>
  <si>
    <t>Turro</t>
  </si>
  <si>
    <t>E0003</t>
  </si>
  <si>
    <t>E0004</t>
  </si>
  <si>
    <t>E0005</t>
  </si>
  <si>
    <t>Hours Worked</t>
  </si>
  <si>
    <t>London Team Call Statistics</t>
  </si>
  <si>
    <t>Name</t>
  </si>
  <si>
    <t>No. Calls</t>
  </si>
  <si>
    <t>Hours worked</t>
  </si>
  <si>
    <t>Calls per Hour</t>
  </si>
  <si>
    <t>Bonus</t>
  </si>
  <si>
    <t>Adam</t>
  </si>
  <si>
    <t>Johan</t>
  </si>
  <si>
    <t>Jamse</t>
  </si>
  <si>
    <t>Alex</t>
  </si>
  <si>
    <t>Emma</t>
  </si>
  <si>
    <t>Total</t>
  </si>
  <si>
    <t>Bonus rate</t>
  </si>
  <si>
    <t>Panda EST</t>
  </si>
  <si>
    <t>Monthly Sales Report-July</t>
  </si>
  <si>
    <t>Emp.No</t>
  </si>
  <si>
    <t>Salary</t>
  </si>
  <si>
    <t>Sales Amount</t>
  </si>
  <si>
    <t>Commission</t>
  </si>
  <si>
    <t>Total Salary</t>
  </si>
  <si>
    <t>Ahmed</t>
  </si>
  <si>
    <t>Ali</t>
  </si>
  <si>
    <t>Aslam</t>
  </si>
  <si>
    <t>Mushtaque</t>
  </si>
  <si>
    <t>Ashfaque</t>
  </si>
  <si>
    <t>S101</t>
  </si>
  <si>
    <t>S103</t>
  </si>
  <si>
    <t>S105</t>
  </si>
  <si>
    <t>S112</t>
  </si>
  <si>
    <t>S107</t>
  </si>
  <si>
    <t>S110</t>
  </si>
  <si>
    <t>Mujahid</t>
  </si>
  <si>
    <t>Totals</t>
  </si>
  <si>
    <t>Average</t>
  </si>
  <si>
    <t>Highest</t>
  </si>
  <si>
    <t>Lowest</t>
  </si>
  <si>
    <t>Count</t>
  </si>
  <si>
    <t>ITEM No.</t>
  </si>
  <si>
    <t>No. Of ITEMS</t>
  </si>
  <si>
    <t>ITEM Price</t>
  </si>
  <si>
    <t>TAX</t>
  </si>
  <si>
    <t>TOTAL PRICE BEFORE TAX</t>
  </si>
  <si>
    <t>TOTAL PRICE AFTER TAX</t>
  </si>
  <si>
    <t>RATE</t>
  </si>
  <si>
    <t>Count of items</t>
  </si>
  <si>
    <t>Average of Tax</t>
  </si>
  <si>
    <t>Min ITEM Price</t>
  </si>
  <si>
    <t>Max ITEM Price</t>
  </si>
  <si>
    <t>Student A</t>
  </si>
  <si>
    <t>Student B</t>
  </si>
  <si>
    <t>Student C</t>
  </si>
  <si>
    <t>Student D</t>
  </si>
  <si>
    <t>Student E</t>
  </si>
  <si>
    <t>Assignment 1</t>
  </si>
  <si>
    <t>Assignment 2</t>
  </si>
  <si>
    <t>Assignment 3</t>
  </si>
  <si>
    <t>Assignment 4</t>
  </si>
  <si>
    <t>Assignment 5</t>
  </si>
  <si>
    <t>Assignment 6</t>
  </si>
  <si>
    <t>Assignment 7</t>
  </si>
  <si>
    <t>Assignment 8</t>
  </si>
  <si>
    <t>Assignment 9</t>
  </si>
  <si>
    <t>Assignment 10</t>
  </si>
  <si>
    <t>MINIMUM</t>
  </si>
  <si>
    <t>MAXIMUM</t>
  </si>
  <si>
    <t>TOTAL</t>
  </si>
  <si>
    <t>AVERAGE</t>
  </si>
  <si>
    <t>Date</t>
  </si>
  <si>
    <t>Food</t>
  </si>
  <si>
    <t>Stationary</t>
  </si>
  <si>
    <t>Laundary</t>
  </si>
  <si>
    <t>Medicine</t>
  </si>
  <si>
    <t>Others</t>
  </si>
  <si>
    <t>Expense Tracker</t>
  </si>
  <si>
    <t>Week 1</t>
  </si>
  <si>
    <t>Week 2</t>
  </si>
  <si>
    <t>Week 3</t>
  </si>
  <si>
    <t>Week 4</t>
  </si>
  <si>
    <t>Sale and Profit Report - First Quarter 2012</t>
  </si>
  <si>
    <t>No</t>
  </si>
  <si>
    <t xml:space="preserve">City </t>
  </si>
  <si>
    <t>Jan</t>
  </si>
  <si>
    <t>Feb</t>
  </si>
  <si>
    <t>Mar</t>
  </si>
  <si>
    <t>Maximum</t>
  </si>
  <si>
    <t>C001</t>
  </si>
  <si>
    <t>New York</t>
  </si>
  <si>
    <t>C002</t>
  </si>
  <si>
    <t>Los Angles</t>
  </si>
  <si>
    <t>C003</t>
  </si>
  <si>
    <t>Lodon</t>
  </si>
  <si>
    <t>C004</t>
  </si>
  <si>
    <t>Paris</t>
  </si>
  <si>
    <t>C005</t>
  </si>
  <si>
    <t>Munich</t>
  </si>
  <si>
    <t>Total Sales</t>
  </si>
  <si>
    <t>Cost</t>
  </si>
  <si>
    <t>Profit</t>
  </si>
  <si>
    <t>10% Bonus</t>
  </si>
  <si>
    <t>Total Sales greater than 30000</t>
  </si>
  <si>
    <t>No Sales greater than 30000</t>
  </si>
  <si>
    <t>0-Jan</t>
  </si>
  <si>
    <t>29-Fab</t>
  </si>
  <si>
    <t>0-jan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</si>
</sst>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$-1009]* #,##0.00_-;\-[$$-1009]* #,##0.00_-;_-[$$-1009]* &quot;-&quot;??_-;_-@_-"/>
    <numFmt numFmtId="165" formatCode="_(* #,##0_);_(* \(#,##0\);_(* &quot;-&quot;??_);_(@_)"/>
    <numFmt numFmtId="166" formatCode="0;[Red]0"/>
  </numFmts>
  <fonts count="1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8" fillId="18" borderId="0" applyNumberFormat="0" applyBorder="0" applyAlignment="0" applyProtection="0"/>
  </cellStyleXfs>
  <cellXfs count="75">
    <xf numFmtId="0" fontId="0" fillId="0" borderId="0" xfId="0"/>
    <xf numFmtId="0" fontId="0" fillId="0" borderId="0" xfId="0" applyAlignment="1"/>
    <xf numFmtId="0" fontId="2" fillId="0" borderId="0" xfId="0" applyFont="1"/>
    <xf numFmtId="0" fontId="2" fillId="5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14" fontId="2" fillId="3" borderId="2" xfId="0" applyNumberFormat="1" applyFont="1" applyFill="1" applyBorder="1" applyAlignment="1"/>
    <xf numFmtId="14" fontId="2" fillId="3" borderId="3" xfId="0" applyNumberFormat="1" applyFont="1" applyFill="1" applyBorder="1" applyAlignment="1"/>
    <xf numFmtId="14" fontId="2" fillId="3" borderId="4" xfId="0" applyNumberFormat="1" applyFont="1" applyFill="1" applyBorder="1" applyAlignment="1"/>
    <xf numFmtId="164" fontId="2" fillId="3" borderId="1" xfId="0" applyNumberFormat="1" applyFont="1" applyFill="1" applyBorder="1"/>
    <xf numFmtId="0" fontId="0" fillId="0" borderId="0" xfId="0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 textRotation="45"/>
    </xf>
    <xf numFmtId="9" fontId="0" fillId="0" borderId="0" xfId="0" applyNumberFormat="1"/>
    <xf numFmtId="0" fontId="0" fillId="7" borderId="0" xfId="0" applyFill="1"/>
    <xf numFmtId="0" fontId="0" fillId="10" borderId="0" xfId="0" applyFill="1"/>
    <xf numFmtId="43" fontId="0" fillId="0" borderId="0" xfId="1" applyFont="1"/>
    <xf numFmtId="3" fontId="2" fillId="6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/>
    <xf numFmtId="3" fontId="2" fillId="2" borderId="1" xfId="0" applyNumberFormat="1" applyFont="1" applyFill="1" applyBorder="1"/>
    <xf numFmtId="3" fontId="2" fillId="0" borderId="5" xfId="0" applyNumberFormat="1" applyFont="1" applyBorder="1"/>
    <xf numFmtId="3" fontId="2" fillId="0" borderId="0" xfId="0" applyNumberFormat="1" applyFont="1" applyBorder="1"/>
    <xf numFmtId="4" fontId="2" fillId="0" borderId="0" xfId="0" applyNumberFormat="1" applyFont="1" applyBorder="1"/>
    <xf numFmtId="3" fontId="2" fillId="0" borderId="7" xfId="0" applyNumberFormat="1" applyFont="1" applyBorder="1"/>
    <xf numFmtId="3" fontId="2" fillId="0" borderId="6" xfId="0" applyNumberFormat="1" applyFont="1" applyBorder="1"/>
    <xf numFmtId="4" fontId="2" fillId="0" borderId="7" xfId="0" applyNumberFormat="1" applyFont="1" applyBorder="1"/>
    <xf numFmtId="3" fontId="2" fillId="0" borderId="8" xfId="0" applyNumberFormat="1" applyFont="1" applyBorder="1"/>
    <xf numFmtId="3" fontId="2" fillId="0" borderId="9" xfId="0" applyNumberFormat="1" applyFont="1" applyBorder="1"/>
    <xf numFmtId="4" fontId="2" fillId="0" borderId="3" xfId="0" applyNumberFormat="1" applyFont="1" applyFill="1" applyBorder="1" applyAlignment="1">
      <alignment horizontal="center" wrapText="1"/>
    </xf>
    <xf numFmtId="4" fontId="2" fillId="0" borderId="2" xfId="0" applyNumberFormat="1" applyFont="1" applyFill="1" applyBorder="1" applyAlignment="1">
      <alignment horizontal="center" wrapText="1"/>
    </xf>
    <xf numFmtId="4" fontId="2" fillId="0" borderId="4" xfId="0" applyNumberFormat="1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/>
    <xf numFmtId="41" fontId="2" fillId="3" borderId="1" xfId="0" applyNumberFormat="1" applyFont="1" applyFill="1" applyBorder="1"/>
    <xf numFmtId="166" fontId="2" fillId="3" borderId="1" xfId="2" applyNumberFormat="1" applyFont="1" applyFill="1" applyBorder="1"/>
    <xf numFmtId="2" fontId="0" fillId="0" borderId="0" xfId="1" applyNumberFormat="1" applyFont="1"/>
    <xf numFmtId="0" fontId="0" fillId="0" borderId="0" xfId="0" applyNumberFormat="1"/>
    <xf numFmtId="0" fontId="0" fillId="0" borderId="1" xfId="0" applyBorder="1" applyAlignment="1"/>
    <xf numFmtId="0" fontId="0" fillId="0" borderId="1" xfId="0" applyNumberFormat="1" applyBorder="1"/>
    <xf numFmtId="0" fontId="0" fillId="12" borderId="0" xfId="0" applyFill="1"/>
    <xf numFmtId="0" fontId="0" fillId="9" borderId="1" xfId="0" applyFill="1" applyBorder="1"/>
    <xf numFmtId="0" fontId="6" fillId="0" borderId="1" xfId="0" applyFont="1" applyBorder="1"/>
    <xf numFmtId="0" fontId="0" fillId="16" borderId="1" xfId="0" applyFill="1" applyBorder="1"/>
    <xf numFmtId="0" fontId="0" fillId="0" borderId="1" xfId="0" applyFont="1" applyBorder="1"/>
    <xf numFmtId="0" fontId="5" fillId="8" borderId="1" xfId="0" applyFont="1" applyFill="1" applyBorder="1"/>
    <xf numFmtId="0" fontId="0" fillId="15" borderId="1" xfId="0" applyFont="1" applyFill="1" applyBorder="1"/>
    <xf numFmtId="0" fontId="0" fillId="17" borderId="1" xfId="0" applyFont="1" applyFill="1" applyBorder="1"/>
    <xf numFmtId="0" fontId="0" fillId="11" borderId="1" xfId="0" applyFill="1" applyBorder="1"/>
    <xf numFmtId="0" fontId="0" fillId="10" borderId="1" xfId="0" applyFont="1" applyFill="1" applyBorder="1"/>
    <xf numFmtId="16" fontId="0" fillId="12" borderId="0" xfId="0" applyNumberFormat="1" applyFill="1"/>
    <xf numFmtId="16" fontId="0" fillId="0" borderId="0" xfId="0" applyNumberFormat="1" applyFill="1"/>
    <xf numFmtId="0" fontId="9" fillId="0" borderId="0" xfId="0" applyFont="1"/>
    <xf numFmtId="44" fontId="0" fillId="0" borderId="0" xfId="0" applyNumberForma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vertical="top" wrapText="1"/>
    </xf>
    <xf numFmtId="16" fontId="4" fillId="12" borderId="0" xfId="3" applyNumberFormat="1" applyFont="1" applyFill="1"/>
    <xf numFmtId="16" fontId="4" fillId="12" borderId="0" xfId="3" applyNumberFormat="1" applyFont="1" applyFill="1" applyAlignment="1">
      <alignment horizontal="right"/>
    </xf>
    <xf numFmtId="0" fontId="4" fillId="12" borderId="0" xfId="3" applyFont="1" applyFill="1" applyAlignment="1">
      <alignment horizontal="right"/>
    </xf>
    <xf numFmtId="16" fontId="11" fillId="12" borderId="0" xfId="0" applyNumberFormat="1" applyFont="1" applyFill="1"/>
    <xf numFmtId="0" fontId="11" fillId="12" borderId="0" xfId="0" applyFont="1" applyFill="1"/>
    <xf numFmtId="16" fontId="0" fillId="12" borderId="0" xfId="3" applyNumberFormat="1" applyFont="1" applyFill="1"/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4" borderId="1" xfId="0" applyNumberFormat="1" applyFont="1" applyFill="1" applyBorder="1" applyAlignment="1">
      <alignment horizontal="center"/>
    </xf>
    <xf numFmtId="4" fontId="2" fillId="13" borderId="2" xfId="0" applyNumberFormat="1" applyFont="1" applyFill="1" applyBorder="1" applyAlignment="1">
      <alignment horizontal="center" wrapText="1"/>
    </xf>
    <xf numFmtId="4" fontId="2" fillId="13" borderId="3" xfId="0" applyNumberFormat="1" applyFont="1" applyFill="1" applyBorder="1" applyAlignment="1">
      <alignment horizontal="center" wrapText="1"/>
    </xf>
    <xf numFmtId="4" fontId="2" fillId="13" borderId="4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">
    <cellStyle name="Comma" xfId="1" builtinId="3"/>
    <cellStyle name="Currency" xfId="2" builtinId="4"/>
    <cellStyle name="Good" xfId="3" builtinId="26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594050743664E-2"/>
          <c:y val="5.0925925925925923E-2"/>
          <c:w val="0.68464129483814529"/>
          <c:h val="0.574381014873140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'Task 5'!$B$1</c:f>
              <c:strCache>
                <c:ptCount val="1"/>
                <c:pt idx="0">
                  <c:v>Student 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5'!$B$2:$B$11</c:f>
              <c:numCache>
                <c:formatCode>General</c:formatCode>
                <c:ptCount val="10"/>
                <c:pt idx="0">
                  <c:v>65</c:v>
                </c:pt>
                <c:pt idx="1">
                  <c:v>78</c:v>
                </c:pt>
                <c:pt idx="2">
                  <c:v>95</c:v>
                </c:pt>
                <c:pt idx="3">
                  <c:v>89</c:v>
                </c:pt>
                <c:pt idx="4">
                  <c:v>56</c:v>
                </c:pt>
                <c:pt idx="5">
                  <c:v>67</c:v>
                </c:pt>
                <c:pt idx="6">
                  <c:v>72</c:v>
                </c:pt>
                <c:pt idx="7">
                  <c:v>0</c:v>
                </c:pt>
                <c:pt idx="8">
                  <c:v>56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F-409A-AB28-D4E8CF54B2D4}"/>
            </c:ext>
          </c:extLst>
        </c:ser>
        <c:ser>
          <c:idx val="1"/>
          <c:order val="1"/>
          <c:tx>
            <c:strRef>
              <c:f>'Task 5'!$C$1</c:f>
              <c:strCache>
                <c:ptCount val="1"/>
                <c:pt idx="0">
                  <c:v>Student 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5'!$C$2:$C$11</c:f>
              <c:numCache>
                <c:formatCode>General</c:formatCode>
                <c:ptCount val="10"/>
                <c:pt idx="0">
                  <c:v>70</c:v>
                </c:pt>
                <c:pt idx="1">
                  <c:v>78</c:v>
                </c:pt>
                <c:pt idx="2">
                  <c:v>89</c:v>
                </c:pt>
                <c:pt idx="3">
                  <c:v>89</c:v>
                </c:pt>
                <c:pt idx="4">
                  <c:v>77</c:v>
                </c:pt>
                <c:pt idx="5">
                  <c:v>75</c:v>
                </c:pt>
                <c:pt idx="6">
                  <c:v>71</c:v>
                </c:pt>
                <c:pt idx="7">
                  <c:v>81</c:v>
                </c:pt>
                <c:pt idx="8">
                  <c:v>89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F-409A-AB28-D4E8CF54B2D4}"/>
            </c:ext>
          </c:extLst>
        </c:ser>
        <c:ser>
          <c:idx val="2"/>
          <c:order val="2"/>
          <c:tx>
            <c:strRef>
              <c:f>'Task 5'!$D$1</c:f>
              <c:strCache>
                <c:ptCount val="1"/>
                <c:pt idx="0">
                  <c:v>Student 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5'!$D$2:$D$11</c:f>
              <c:numCache>
                <c:formatCode>General</c:formatCode>
                <c:ptCount val="10"/>
                <c:pt idx="0">
                  <c:v>56</c:v>
                </c:pt>
                <c:pt idx="1">
                  <c:v>67</c:v>
                </c:pt>
                <c:pt idx="2">
                  <c:v>87</c:v>
                </c:pt>
                <c:pt idx="3">
                  <c:v>56</c:v>
                </c:pt>
                <c:pt idx="4">
                  <c:v>64</c:v>
                </c:pt>
                <c:pt idx="5">
                  <c:v>60</c:v>
                </c:pt>
                <c:pt idx="6">
                  <c:v>80</c:v>
                </c:pt>
                <c:pt idx="7">
                  <c:v>78</c:v>
                </c:pt>
                <c:pt idx="8">
                  <c:v>36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F-409A-AB28-D4E8CF54B2D4}"/>
            </c:ext>
          </c:extLst>
        </c:ser>
        <c:ser>
          <c:idx val="3"/>
          <c:order val="3"/>
          <c:tx>
            <c:strRef>
              <c:f>'Task 5'!$E$1</c:f>
              <c:strCache>
                <c:ptCount val="1"/>
                <c:pt idx="0">
                  <c:v>Student 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5'!$E$2:$E$11</c:f>
              <c:numCache>
                <c:formatCode>General</c:formatCode>
                <c:ptCount val="10"/>
                <c:pt idx="0">
                  <c:v>95</c:v>
                </c:pt>
                <c:pt idx="1">
                  <c:v>93</c:v>
                </c:pt>
                <c:pt idx="2">
                  <c:v>88</c:v>
                </c:pt>
                <c:pt idx="3">
                  <c:v>83</c:v>
                </c:pt>
                <c:pt idx="4">
                  <c:v>75</c:v>
                </c:pt>
                <c:pt idx="5">
                  <c:v>57</c:v>
                </c:pt>
                <c:pt idx="6">
                  <c:v>85</c:v>
                </c:pt>
                <c:pt idx="7">
                  <c:v>78</c:v>
                </c:pt>
                <c:pt idx="8">
                  <c:v>0</c:v>
                </c:pt>
                <c:pt idx="9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4F-409A-AB28-D4E8CF54B2D4}"/>
            </c:ext>
          </c:extLst>
        </c:ser>
        <c:ser>
          <c:idx val="4"/>
          <c:order val="4"/>
          <c:tx>
            <c:strRef>
              <c:f>'Task 5'!$F$1</c:f>
              <c:strCache>
                <c:ptCount val="1"/>
                <c:pt idx="0">
                  <c:v>Student 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5'!$A$2:$A$11</c:f>
              <c:strCache>
                <c:ptCount val="10"/>
                <c:pt idx="0">
                  <c:v>Assignment 1</c:v>
                </c:pt>
                <c:pt idx="1">
                  <c:v>Assignment 2</c:v>
                </c:pt>
                <c:pt idx="2">
                  <c:v>Assignment 3</c:v>
                </c:pt>
                <c:pt idx="3">
                  <c:v>Assignment 4</c:v>
                </c:pt>
                <c:pt idx="4">
                  <c:v>Assignment 5</c:v>
                </c:pt>
                <c:pt idx="5">
                  <c:v>Assignment 6</c:v>
                </c:pt>
                <c:pt idx="6">
                  <c:v>Assignment 7</c:v>
                </c:pt>
                <c:pt idx="7">
                  <c:v>Assignment 8</c:v>
                </c:pt>
                <c:pt idx="8">
                  <c:v>Assignment 9</c:v>
                </c:pt>
                <c:pt idx="9">
                  <c:v>Assignment 10</c:v>
                </c:pt>
              </c:strCache>
            </c:strRef>
          </c:cat>
          <c:val>
            <c:numRef>
              <c:f>'Task 5'!$F$2:$F$11</c:f>
              <c:numCache>
                <c:formatCode>General</c:formatCode>
                <c:ptCount val="10"/>
                <c:pt idx="0">
                  <c:v>67</c:v>
                </c:pt>
                <c:pt idx="1">
                  <c:v>75</c:v>
                </c:pt>
                <c:pt idx="2">
                  <c:v>75</c:v>
                </c:pt>
                <c:pt idx="3">
                  <c:v>88</c:v>
                </c:pt>
                <c:pt idx="4">
                  <c:v>56</c:v>
                </c:pt>
                <c:pt idx="5">
                  <c:v>45</c:v>
                </c:pt>
                <c:pt idx="6">
                  <c:v>46</c:v>
                </c:pt>
                <c:pt idx="7">
                  <c:v>52</c:v>
                </c:pt>
                <c:pt idx="8">
                  <c:v>63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F-409A-AB28-D4E8CF54B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6567279"/>
        <c:axId val="2006548975"/>
      </c:barChart>
      <c:catAx>
        <c:axId val="200656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548975"/>
        <c:crosses val="autoZero"/>
        <c:auto val="1"/>
        <c:lblAlgn val="ctr"/>
        <c:lblOffset val="100"/>
        <c:noMultiLvlLbl val="0"/>
      </c:catAx>
      <c:valAx>
        <c:axId val="200654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567279"/>
        <c:crosses val="autoZero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063560804899382"/>
          <c:y val="0.31076334208223971"/>
          <c:w val="0.1426174540682415"/>
          <c:h val="0.369792213473315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Expense Tracker Of a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6'!$C$2:$G$2</c:f>
              <c:strCache>
                <c:ptCount val="5"/>
                <c:pt idx="0">
                  <c:v>Food</c:v>
                </c:pt>
                <c:pt idx="1">
                  <c:v>Stationary</c:v>
                </c:pt>
                <c:pt idx="2">
                  <c:v>Laundary</c:v>
                </c:pt>
                <c:pt idx="3">
                  <c:v>Medicine</c:v>
                </c:pt>
                <c:pt idx="4">
                  <c:v>Others</c:v>
                </c:pt>
              </c:strCache>
            </c:strRef>
          </c:cat>
          <c:val>
            <c:numRef>
              <c:f>'Task 6'!$C$41:$G$41</c:f>
              <c:numCache>
                <c:formatCode>General</c:formatCode>
                <c:ptCount val="5"/>
                <c:pt idx="0">
                  <c:v>2490</c:v>
                </c:pt>
                <c:pt idx="1">
                  <c:v>270</c:v>
                </c:pt>
                <c:pt idx="2">
                  <c:v>340</c:v>
                </c:pt>
                <c:pt idx="3">
                  <c:v>50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3-4CDC-BBBA-706197B4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2158832"/>
        <c:axId val="1662155920"/>
      </c:barChart>
      <c:catAx>
        <c:axId val="16621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5920"/>
        <c:crosses val="autoZero"/>
        <c:auto val="1"/>
        <c:lblAlgn val="ctr"/>
        <c:lblOffset val="100"/>
        <c:noMultiLvlLbl val="0"/>
      </c:catAx>
      <c:valAx>
        <c:axId val="1662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5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And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42847769028871"/>
          <c:y val="0.18300925925925926"/>
          <c:w val="0.63079374453193349"/>
          <c:h val="0.60368802857976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7'!$C$2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7'!$B$3:$B$7</c:f>
              <c:strCache>
                <c:ptCount val="5"/>
                <c:pt idx="0">
                  <c:v>New York</c:v>
                </c:pt>
                <c:pt idx="1">
                  <c:v>Los Angles</c:v>
                </c:pt>
                <c:pt idx="2">
                  <c:v>Lodon</c:v>
                </c:pt>
                <c:pt idx="3">
                  <c:v>Paris</c:v>
                </c:pt>
                <c:pt idx="4">
                  <c:v>Munich</c:v>
                </c:pt>
              </c:strCache>
            </c:strRef>
          </c:cat>
          <c:val>
            <c:numRef>
              <c:f>'Task 7'!$C$3:$C$7</c:f>
              <c:numCache>
                <c:formatCode>_("$"* #,##0.00_);_("$"* \(#,##0.00\);_("$"* "-"??_);_(@_)</c:formatCode>
                <c:ptCount val="5"/>
                <c:pt idx="0">
                  <c:v>22000</c:v>
                </c:pt>
                <c:pt idx="1">
                  <c:v>42000</c:v>
                </c:pt>
                <c:pt idx="2">
                  <c:v>18000</c:v>
                </c:pt>
                <c:pt idx="3">
                  <c:v>35000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5-4081-A4B7-6B331F5368E4}"/>
            </c:ext>
          </c:extLst>
        </c:ser>
        <c:ser>
          <c:idx val="1"/>
          <c:order val="1"/>
          <c:tx>
            <c:strRef>
              <c:f>'Task 7'!$D$2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7'!$B$3:$B$7</c:f>
              <c:strCache>
                <c:ptCount val="5"/>
                <c:pt idx="0">
                  <c:v>New York</c:v>
                </c:pt>
                <c:pt idx="1">
                  <c:v>Los Angles</c:v>
                </c:pt>
                <c:pt idx="2">
                  <c:v>Lodon</c:v>
                </c:pt>
                <c:pt idx="3">
                  <c:v>Paris</c:v>
                </c:pt>
                <c:pt idx="4">
                  <c:v>Munich</c:v>
                </c:pt>
              </c:strCache>
            </c:strRef>
          </c:cat>
          <c:val>
            <c:numRef>
              <c:f>'Task 7'!$D$3:$D$7</c:f>
              <c:numCache>
                <c:formatCode>_("$"* #,##0.00_);_("$"* \(#,##0.00\);_("$"* "-"??_);_(@_)</c:formatCode>
                <c:ptCount val="5"/>
                <c:pt idx="0">
                  <c:v>29000</c:v>
                </c:pt>
                <c:pt idx="1">
                  <c:v>39000</c:v>
                </c:pt>
                <c:pt idx="2">
                  <c:v>20000</c:v>
                </c:pt>
                <c:pt idx="3">
                  <c:v>26000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5-4081-A4B7-6B331F5368E4}"/>
            </c:ext>
          </c:extLst>
        </c:ser>
        <c:ser>
          <c:idx val="2"/>
          <c:order val="2"/>
          <c:tx>
            <c:strRef>
              <c:f>'Task 7'!$E$2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 7'!$B$3:$B$7</c:f>
              <c:strCache>
                <c:ptCount val="5"/>
                <c:pt idx="0">
                  <c:v>New York</c:v>
                </c:pt>
                <c:pt idx="1">
                  <c:v>Los Angles</c:v>
                </c:pt>
                <c:pt idx="2">
                  <c:v>Lodon</c:v>
                </c:pt>
                <c:pt idx="3">
                  <c:v>Paris</c:v>
                </c:pt>
                <c:pt idx="4">
                  <c:v>Munich</c:v>
                </c:pt>
              </c:strCache>
            </c:strRef>
          </c:cat>
          <c:val>
            <c:numRef>
              <c:f>'Task 7'!$E$3:$E$7</c:f>
              <c:numCache>
                <c:formatCode>_("$"* #,##0.00_);_("$"* \(#,##0.00\);_("$"* "-"??_);_(@_)</c:formatCode>
                <c:ptCount val="5"/>
                <c:pt idx="0">
                  <c:v>19000</c:v>
                </c:pt>
                <c:pt idx="1">
                  <c:v>43000</c:v>
                </c:pt>
                <c:pt idx="2">
                  <c:v>72000</c:v>
                </c:pt>
                <c:pt idx="3">
                  <c:v>31000</c:v>
                </c:pt>
                <c:pt idx="4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5-4081-A4B7-6B331F536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7086272"/>
        <c:axId val="2117090016"/>
      </c:barChart>
      <c:catAx>
        <c:axId val="21170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90016"/>
        <c:crosses val="autoZero"/>
        <c:auto val="1"/>
        <c:lblAlgn val="ctr"/>
        <c:lblOffset val="100"/>
        <c:noMultiLvlLbl val="0"/>
      </c:catAx>
      <c:valAx>
        <c:axId val="2117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804211737589517"/>
          <c:y val="0.22280037911927675"/>
          <c:w val="0.11036809417312286"/>
          <c:h val="0.605903324584426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Sales in Each City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1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BAB-492E-A2E0-83BF1EA2BCB3}"/>
              </c:ext>
            </c:extLst>
          </c:dPt>
          <c:dPt>
            <c:idx val="1"/>
            <c:bubble3D val="0"/>
            <c:explosion val="9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AB-492E-A2E0-83BF1EA2BCB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BAB-492E-A2E0-83BF1EA2BCB3}"/>
              </c:ext>
            </c:extLst>
          </c:dPt>
          <c:dPt>
            <c:idx val="3"/>
            <c:bubble3D val="0"/>
            <c:explosion val="1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AB-492E-A2E0-83BF1EA2BCB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AB-492E-A2E0-83BF1EA2BCB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'Task 7'!$B$3:$B$7</c:f>
              <c:strCache>
                <c:ptCount val="5"/>
                <c:pt idx="0">
                  <c:v>New York</c:v>
                </c:pt>
                <c:pt idx="1">
                  <c:v>Los Angles</c:v>
                </c:pt>
                <c:pt idx="2">
                  <c:v>Lodon</c:v>
                </c:pt>
                <c:pt idx="3">
                  <c:v>Paris</c:v>
                </c:pt>
                <c:pt idx="4">
                  <c:v>Munich</c:v>
                </c:pt>
              </c:strCache>
            </c:strRef>
          </c:cat>
          <c:val>
            <c:numRef>
              <c:f>'Task 7'!$G$3:$G$7</c:f>
              <c:numCache>
                <c:formatCode>_("$"* #,##0.00_);_("$"* \(#,##0.00\);_("$"* "-"??_);_(@_)</c:formatCode>
                <c:ptCount val="5"/>
                <c:pt idx="0">
                  <c:v>29000</c:v>
                </c:pt>
                <c:pt idx="1">
                  <c:v>43000</c:v>
                </c:pt>
                <c:pt idx="2">
                  <c:v>72000</c:v>
                </c:pt>
                <c:pt idx="3">
                  <c:v>35000</c:v>
                </c:pt>
                <c:pt idx="4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B-492E-A2E0-83BF1EA2BCB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63078</xdr:colOff>
      <xdr:row>16</xdr:row>
      <xdr:rowOff>152206</xdr:rowOff>
    </xdr:from>
    <xdr:to>
      <xdr:col>6</xdr:col>
      <xdr:colOff>32851</xdr:colOff>
      <xdr:row>31</xdr:row>
      <xdr:rowOff>37907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16</xdr:row>
      <xdr:rowOff>123825</xdr:rowOff>
    </xdr:from>
    <xdr:to>
      <xdr:col>15</xdr:col>
      <xdr:colOff>66675</xdr:colOff>
      <xdr:row>31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319086</xdr:colOff>
      <xdr:row>14</xdr:row>
      <xdr:rowOff>57150</xdr:rowOff>
    </xdr:from>
    <xdr:to>
      <xdr:col>6</xdr:col>
      <xdr:colOff>685799</xdr:colOff>
      <xdr:row>28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14</xdr:row>
      <xdr:rowOff>38100</xdr:rowOff>
    </xdr:from>
    <xdr:to>
      <xdr:col>14</xdr:col>
      <xdr:colOff>371475</xdr:colOff>
      <xdr:row>28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zoomScaleNormal="100" workbookViewId="0">
      <selection activeCell="E6" sqref="E6"/>
    </sheetView>
  </sheetViews>
  <sheetFormatPr defaultRowHeight="15" x14ac:dyDescent="0.25"/>
  <cols>
    <col min="1" max="1" width="12.5703125" customWidth="1"/>
    <col min="2" max="2" width="12.85546875" customWidth="1"/>
    <col min="3" max="3" width="9.28515625" customWidth="1"/>
    <col min="4" max="4" width="10.140625" customWidth="1"/>
    <col min="5" max="5" width="12.5703125" customWidth="1"/>
    <col min="7" max="7" width="11" customWidth="1"/>
    <col min="8" max="8" width="14" customWidth="1"/>
    <col min="9" max="9" width="14.42578125" customWidth="1"/>
    <col min="10" max="10" width="12.42578125" customWidth="1"/>
    <col min="11" max="13" width="11" customWidth="1"/>
  </cols>
  <sheetData>
    <row r="1" spans="1:14" ht="31.5" x14ac:dyDescent="0.5">
      <c r="A1" s="65" t="s">
        <v>0</v>
      </c>
      <c r="B1" s="65"/>
      <c r="C1" s="65"/>
      <c r="D1" s="65"/>
      <c r="E1" s="65"/>
      <c r="F1" s="65"/>
      <c r="G1" s="65"/>
    </row>
    <row r="2" spans="1:14" ht="15.75" x14ac:dyDescent="0.25">
      <c r="A2" s="3" t="s">
        <v>1</v>
      </c>
      <c r="B2" s="6">
        <f ca="1">TODAY()</f>
        <v>45248</v>
      </c>
      <c r="C2" s="7"/>
      <c r="D2" s="7"/>
      <c r="E2" s="7"/>
      <c r="F2" s="7"/>
      <c r="G2" s="8"/>
    </row>
    <row r="3" spans="1:14" s="1" customFormat="1" ht="32.25" customHeight="1" x14ac:dyDescent="0.25">
      <c r="A3" s="11" t="s">
        <v>2</v>
      </c>
      <c r="B3" s="11" t="s">
        <v>3</v>
      </c>
      <c r="C3" s="11" t="s">
        <v>4</v>
      </c>
      <c r="D3" s="11" t="s">
        <v>18</v>
      </c>
      <c r="E3" s="11" t="s">
        <v>5</v>
      </c>
      <c r="F3" s="11" t="s">
        <v>6</v>
      </c>
      <c r="G3" s="11" t="s">
        <v>7</v>
      </c>
      <c r="H3" s="10"/>
    </row>
    <row r="4" spans="1:14" ht="15.75" x14ac:dyDescent="0.25">
      <c r="A4" s="4" t="s">
        <v>8</v>
      </c>
      <c r="B4" s="4" t="s">
        <v>10</v>
      </c>
      <c r="C4" s="4">
        <v>7.5</v>
      </c>
      <c r="D4" s="4">
        <v>30</v>
      </c>
      <c r="E4" s="9">
        <f>C4*D4</f>
        <v>225</v>
      </c>
      <c r="F4" s="9">
        <f>6%*E4</f>
        <v>13.5</v>
      </c>
      <c r="G4" s="9">
        <f>E4-F4</f>
        <v>211.5</v>
      </c>
    </row>
    <row r="5" spans="1:14" ht="15.75" x14ac:dyDescent="0.25">
      <c r="A5" s="4" t="s">
        <v>9</v>
      </c>
      <c r="B5" s="5" t="s">
        <v>11</v>
      </c>
      <c r="C5" s="5">
        <v>8</v>
      </c>
      <c r="D5" s="5">
        <v>34</v>
      </c>
      <c r="E5" s="9">
        <f t="shared" ref="E5:E8" si="0">C5*D5</f>
        <v>272</v>
      </c>
      <c r="F5" s="9">
        <f t="shared" ref="F5:F8" si="1">6%*E5</f>
        <v>16.32</v>
      </c>
      <c r="G5" s="9">
        <f t="shared" ref="G5:G8" si="2">E5-F5</f>
        <v>255.68</v>
      </c>
      <c r="H5" s="1"/>
      <c r="I5" s="1"/>
      <c r="J5" s="1"/>
      <c r="K5" s="1"/>
      <c r="L5" s="1"/>
    </row>
    <row r="6" spans="1:14" ht="15.75" x14ac:dyDescent="0.25">
      <c r="A6" s="4" t="s">
        <v>15</v>
      </c>
      <c r="B6" s="4" t="s">
        <v>12</v>
      </c>
      <c r="C6" s="4">
        <v>6.5</v>
      </c>
      <c r="D6" s="4">
        <v>45</v>
      </c>
      <c r="E6" s="9">
        <f t="shared" si="0"/>
        <v>292.5</v>
      </c>
      <c r="F6" s="9">
        <f t="shared" si="1"/>
        <v>17.55</v>
      </c>
      <c r="G6" s="9">
        <f t="shared" si="2"/>
        <v>274.95</v>
      </c>
    </row>
    <row r="7" spans="1:14" ht="15.75" x14ac:dyDescent="0.25">
      <c r="A7" s="4" t="s">
        <v>16</v>
      </c>
      <c r="B7" s="5" t="s">
        <v>13</v>
      </c>
      <c r="C7" s="5">
        <v>9</v>
      </c>
      <c r="D7" s="5">
        <v>56</v>
      </c>
      <c r="E7" s="9">
        <f t="shared" si="0"/>
        <v>504</v>
      </c>
      <c r="F7" s="9">
        <f t="shared" si="1"/>
        <v>30.24</v>
      </c>
      <c r="G7" s="9">
        <f t="shared" si="2"/>
        <v>473.76</v>
      </c>
    </row>
    <row r="8" spans="1:14" ht="15.75" x14ac:dyDescent="0.25">
      <c r="A8" s="4" t="s">
        <v>17</v>
      </c>
      <c r="B8" s="4" t="s">
        <v>14</v>
      </c>
      <c r="C8" s="4">
        <v>10</v>
      </c>
      <c r="D8" s="4">
        <v>66</v>
      </c>
      <c r="E8" s="9">
        <f t="shared" si="0"/>
        <v>660</v>
      </c>
      <c r="F8" s="9">
        <f t="shared" si="1"/>
        <v>39.6</v>
      </c>
      <c r="G8" s="9">
        <f t="shared" si="2"/>
        <v>620.4</v>
      </c>
    </row>
    <row r="9" spans="1:14" ht="15.75" x14ac:dyDescent="0.25">
      <c r="A9" s="2"/>
      <c r="B9" s="2"/>
      <c r="C9" s="2"/>
      <c r="D9" s="2"/>
      <c r="E9" s="2"/>
      <c r="F9" s="2"/>
      <c r="N9" s="2"/>
    </row>
    <row r="10" spans="1:14" ht="15.75" x14ac:dyDescent="0.25">
      <c r="A10" s="2"/>
      <c r="B10" s="2"/>
      <c r="C10" s="2"/>
      <c r="D10" s="2"/>
      <c r="E10" s="2"/>
      <c r="F10" s="2"/>
      <c r="N10" s="2"/>
    </row>
    <row r="11" spans="1:14" ht="15.75" x14ac:dyDescent="0.25">
      <c r="A11" s="2"/>
      <c r="B11" s="2"/>
      <c r="C11" s="2"/>
      <c r="D11" s="2"/>
      <c r="E11" s="2"/>
      <c r="F11" s="2"/>
      <c r="N11" s="2"/>
    </row>
    <row r="12" spans="1:14" ht="15.75" x14ac:dyDescent="0.25">
      <c r="A12" s="2"/>
      <c r="B12" s="2"/>
      <c r="C12" s="2"/>
      <c r="D12" s="2"/>
      <c r="E12" s="2"/>
      <c r="F12" s="2"/>
      <c r="N12" s="2"/>
    </row>
    <row r="13" spans="1:14" ht="15.75" x14ac:dyDescent="0.25">
      <c r="A13" s="2"/>
      <c r="B13" s="2"/>
      <c r="C13" s="2"/>
      <c r="D13" s="2"/>
      <c r="E13" s="2"/>
      <c r="F13" s="2"/>
      <c r="N13" s="2"/>
    </row>
    <row r="14" spans="1:14" ht="15.75" x14ac:dyDescent="0.25">
      <c r="A14" s="2"/>
      <c r="B14" s="2"/>
      <c r="C14" s="2"/>
      <c r="D14" s="2"/>
      <c r="E14" s="2"/>
      <c r="F14" s="2"/>
      <c r="N14" s="2"/>
    </row>
    <row r="15" spans="1:14" ht="15.75" x14ac:dyDescent="0.25">
      <c r="A15" s="2"/>
      <c r="B15" s="2"/>
      <c r="C15" s="2"/>
      <c r="D15" s="2"/>
      <c r="E15" s="2"/>
      <c r="F15" s="2"/>
      <c r="N15" s="2"/>
    </row>
    <row r="16" spans="1:14" ht="15.75" x14ac:dyDescent="0.25">
      <c r="A16" s="2"/>
      <c r="B16" s="2"/>
      <c r="C16" s="2"/>
      <c r="D16" s="2"/>
      <c r="E16" s="2"/>
      <c r="F16" s="2"/>
      <c r="N16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view="pageLayout" zoomScaleNormal="100" workbookViewId="0">
      <selection activeCell="A12" sqref="A12"/>
    </sheetView>
  </sheetViews>
  <sheetFormatPr defaultRowHeight="15" x14ac:dyDescent="0.25"/>
  <cols>
    <col min="1" max="1" width="10.140625" customWidth="1"/>
    <col min="5" max="5" width="9.28515625" customWidth="1"/>
  </cols>
  <sheetData>
    <row r="1" spans="1:7" x14ac:dyDescent="0.25">
      <c r="A1" s="66" t="s">
        <v>19</v>
      </c>
      <c r="B1" s="67"/>
      <c r="C1" s="67"/>
      <c r="D1" s="67"/>
      <c r="E1" s="67"/>
    </row>
    <row r="2" spans="1:7" x14ac:dyDescent="0.25">
      <c r="A2" s="67"/>
      <c r="B2" s="67"/>
      <c r="C2" s="67"/>
      <c r="D2" s="67"/>
      <c r="E2" s="67"/>
    </row>
    <row r="3" spans="1:7" ht="30" customHeight="1" x14ac:dyDescent="0.25">
      <c r="A3" s="15" t="s">
        <v>20</v>
      </c>
      <c r="B3" s="15" t="s">
        <v>21</v>
      </c>
      <c r="C3" s="15" t="s">
        <v>22</v>
      </c>
      <c r="D3" s="15" t="s">
        <v>23</v>
      </c>
      <c r="E3" s="16" t="s">
        <v>24</v>
      </c>
      <c r="F3" s="12"/>
      <c r="G3" s="13"/>
    </row>
    <row r="4" spans="1:7" x14ac:dyDescent="0.25">
      <c r="A4" t="s">
        <v>25</v>
      </c>
      <c r="B4" s="14">
        <v>42</v>
      </c>
      <c r="C4" s="14">
        <v>5</v>
      </c>
      <c r="D4" s="14">
        <f>B4/C4</f>
        <v>8.4</v>
      </c>
      <c r="E4" s="14">
        <f>B12*D4</f>
        <v>2.1</v>
      </c>
    </row>
    <row r="5" spans="1:7" x14ac:dyDescent="0.25">
      <c r="A5" t="s">
        <v>26</v>
      </c>
      <c r="B5" s="14">
        <v>6</v>
      </c>
      <c r="C5" s="14">
        <v>4</v>
      </c>
      <c r="D5" s="14">
        <f t="shared" ref="D5:D8" si="0">B5/C5</f>
        <v>1.5</v>
      </c>
      <c r="E5" s="14">
        <f>B12*D5</f>
        <v>0.375</v>
      </c>
    </row>
    <row r="6" spans="1:7" x14ac:dyDescent="0.25">
      <c r="A6" t="s">
        <v>27</v>
      </c>
      <c r="B6" s="14">
        <v>39</v>
      </c>
      <c r="C6" s="14">
        <v>6</v>
      </c>
      <c r="D6" s="14">
        <f t="shared" si="0"/>
        <v>6.5</v>
      </c>
      <c r="E6" s="14">
        <f>B12*D6</f>
        <v>1.625</v>
      </c>
    </row>
    <row r="7" spans="1:7" x14ac:dyDescent="0.25">
      <c r="A7" t="s">
        <v>28</v>
      </c>
      <c r="B7" s="14">
        <v>15</v>
      </c>
      <c r="C7" s="14">
        <v>6</v>
      </c>
      <c r="D7" s="14">
        <f t="shared" si="0"/>
        <v>2.5</v>
      </c>
      <c r="E7" s="14">
        <f>B12*D7</f>
        <v>0.625</v>
      </c>
    </row>
    <row r="8" spans="1:7" x14ac:dyDescent="0.25">
      <c r="A8" t="s">
        <v>29</v>
      </c>
      <c r="B8" s="14">
        <v>2</v>
      </c>
      <c r="C8" s="14">
        <v>7</v>
      </c>
      <c r="D8" s="14">
        <f t="shared" si="0"/>
        <v>0.2857142857142857</v>
      </c>
      <c r="E8" s="14">
        <f>B12*D8</f>
        <v>7.1428571428571425E-2</v>
      </c>
    </row>
    <row r="10" spans="1:7" x14ac:dyDescent="0.25">
      <c r="A10" s="18" t="s">
        <v>30</v>
      </c>
      <c r="B10" s="18">
        <f>SUM(B4:B8)</f>
        <v>104</v>
      </c>
      <c r="C10" s="18">
        <f>SUM(C4:C8)</f>
        <v>28</v>
      </c>
      <c r="D10" s="18">
        <f>SUM(D4:D8)</f>
        <v>19.185714285714283</v>
      </c>
      <c r="E10" s="18">
        <f>SUM(E4:E8)</f>
        <v>4.7964285714285708</v>
      </c>
    </row>
    <row r="12" spans="1:7" ht="13.5" customHeight="1" x14ac:dyDescent="0.25">
      <c r="A12" s="19" t="s">
        <v>31</v>
      </c>
      <c r="B12" s="17">
        <v>0.25</v>
      </c>
    </row>
  </sheetData>
  <mergeCells count="1">
    <mergeCell ref="A1:E2"/>
  </mergeCells>
  <pageMargins left="0.7" right="0.7" top="0.75" bottom="0.75" header="0.3" footer="0.3"/>
  <pageSetup orientation="portrait" r:id="rId1"/>
  <headerFooter>
    <oddHeader>&amp;LMushtaque Ali&amp;R023-23-0165</oddHeader>
    <oddFooter>&amp;L1/11/2023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view="pageLayout" zoomScale="83" zoomScaleNormal="100" zoomScalePageLayoutView="83" workbookViewId="0">
      <selection activeCell="D5" sqref="D5"/>
    </sheetView>
  </sheetViews>
  <sheetFormatPr defaultRowHeight="15" x14ac:dyDescent="0.25"/>
  <cols>
    <col min="1" max="1" width="8.7109375" customWidth="1"/>
    <col min="2" max="2" width="14.7109375" customWidth="1"/>
    <col min="3" max="4" width="15.7109375" customWidth="1"/>
    <col min="5" max="7" width="14.7109375" customWidth="1"/>
    <col min="8" max="8" width="14.42578125" customWidth="1"/>
    <col min="9" max="9" width="12.42578125" customWidth="1"/>
    <col min="10" max="12" width="11" customWidth="1"/>
  </cols>
  <sheetData>
    <row r="1" spans="1:13" ht="31.5" x14ac:dyDescent="0.5">
      <c r="A1" s="68" t="s">
        <v>32</v>
      </c>
      <c r="B1" s="68"/>
      <c r="C1" s="68"/>
      <c r="D1" s="68"/>
      <c r="E1" s="68"/>
      <c r="F1" s="68"/>
    </row>
    <row r="2" spans="1:13" ht="15.75" x14ac:dyDescent="0.25">
      <c r="A2" s="69" t="s">
        <v>33</v>
      </c>
      <c r="B2" s="70"/>
      <c r="C2" s="70"/>
      <c r="D2" s="70"/>
      <c r="E2" s="70"/>
      <c r="F2" s="71"/>
    </row>
    <row r="3" spans="1:13" ht="15.75" x14ac:dyDescent="0.25">
      <c r="A3" s="33"/>
      <c r="B3" s="32"/>
      <c r="C3" s="32"/>
      <c r="D3" s="32"/>
      <c r="E3" s="32"/>
      <c r="F3" s="34"/>
    </row>
    <row r="4" spans="1:13" s="1" customFormat="1" ht="32.25" customHeight="1" x14ac:dyDescent="0.25">
      <c r="A4" s="21" t="s">
        <v>34</v>
      </c>
      <c r="B4" s="21" t="s">
        <v>20</v>
      </c>
      <c r="C4" s="21" t="s">
        <v>35</v>
      </c>
      <c r="D4" s="21" t="s">
        <v>36</v>
      </c>
      <c r="E4" s="21" t="s">
        <v>37</v>
      </c>
      <c r="F4" s="21" t="s">
        <v>38</v>
      </c>
      <c r="G4" s="10"/>
    </row>
    <row r="5" spans="1:13" ht="15.75" x14ac:dyDescent="0.25">
      <c r="A5" s="22" t="s">
        <v>44</v>
      </c>
      <c r="B5" s="22" t="s">
        <v>39</v>
      </c>
      <c r="C5" s="22">
        <v>1600</v>
      </c>
      <c r="D5" s="22">
        <v>2500</v>
      </c>
      <c r="E5" s="22">
        <f>D5*2%</f>
        <v>50</v>
      </c>
      <c r="F5" s="22">
        <f>C5+E5</f>
        <v>1650</v>
      </c>
    </row>
    <row r="6" spans="1:13" ht="15.75" x14ac:dyDescent="0.25">
      <c r="A6" s="22" t="s">
        <v>46</v>
      </c>
      <c r="B6" s="23" t="s">
        <v>40</v>
      </c>
      <c r="C6" s="23">
        <v>1800</v>
      </c>
      <c r="D6" s="23">
        <v>3000</v>
      </c>
      <c r="E6" s="22">
        <f t="shared" ref="E6:E10" si="0">D6*2%</f>
        <v>60</v>
      </c>
      <c r="F6" s="22">
        <f t="shared" ref="F6:F10" si="1">C6+E6</f>
        <v>1860</v>
      </c>
      <c r="G6" s="1"/>
      <c r="H6" s="1"/>
      <c r="I6" s="1"/>
      <c r="J6" s="1"/>
      <c r="K6" s="1"/>
    </row>
    <row r="7" spans="1:13" ht="15.75" x14ac:dyDescent="0.25">
      <c r="A7" s="22" t="s">
        <v>47</v>
      </c>
      <c r="B7" s="22" t="s">
        <v>41</v>
      </c>
      <c r="C7" s="22">
        <v>1500</v>
      </c>
      <c r="D7" s="22">
        <v>2200</v>
      </c>
      <c r="E7" s="22">
        <f t="shared" si="0"/>
        <v>44</v>
      </c>
      <c r="F7" s="22">
        <f t="shared" si="1"/>
        <v>1544</v>
      </c>
    </row>
    <row r="8" spans="1:13" ht="15.75" x14ac:dyDescent="0.25">
      <c r="A8" s="22" t="s">
        <v>48</v>
      </c>
      <c r="B8" s="23" t="s">
        <v>42</v>
      </c>
      <c r="C8" s="23">
        <v>2000</v>
      </c>
      <c r="D8" s="23">
        <v>4500</v>
      </c>
      <c r="E8" s="22">
        <f t="shared" si="0"/>
        <v>90</v>
      </c>
      <c r="F8" s="22">
        <f t="shared" si="1"/>
        <v>2090</v>
      </c>
    </row>
    <row r="9" spans="1:13" ht="15.75" x14ac:dyDescent="0.25">
      <c r="A9" s="22" t="s">
        <v>49</v>
      </c>
      <c r="B9" s="23" t="s">
        <v>50</v>
      </c>
      <c r="C9" s="23">
        <v>1700</v>
      </c>
      <c r="D9" s="23">
        <v>3500</v>
      </c>
      <c r="E9" s="22">
        <f t="shared" si="0"/>
        <v>70</v>
      </c>
      <c r="F9" s="22">
        <f t="shared" si="1"/>
        <v>1770</v>
      </c>
    </row>
    <row r="10" spans="1:13" ht="15.75" x14ac:dyDescent="0.25">
      <c r="A10" s="22" t="s">
        <v>45</v>
      </c>
      <c r="B10" s="22" t="s">
        <v>43</v>
      </c>
      <c r="C10" s="22">
        <v>1600</v>
      </c>
      <c r="D10" s="22">
        <v>2500</v>
      </c>
      <c r="E10" s="22">
        <f t="shared" si="0"/>
        <v>50</v>
      </c>
      <c r="F10" s="22">
        <f t="shared" si="1"/>
        <v>1650</v>
      </c>
    </row>
    <row r="11" spans="1:13" ht="15.75" x14ac:dyDescent="0.25">
      <c r="A11" s="25"/>
      <c r="B11" s="25"/>
      <c r="C11" s="25"/>
      <c r="D11" s="25"/>
      <c r="E11" s="25"/>
      <c r="F11" s="27"/>
      <c r="M11" s="2"/>
    </row>
    <row r="12" spans="1:13" ht="15.75" x14ac:dyDescent="0.25">
      <c r="A12" s="24"/>
      <c r="B12" s="24" t="s">
        <v>51</v>
      </c>
      <c r="C12" s="24">
        <f>SUM(C5:C10)</f>
        <v>10200</v>
      </c>
      <c r="D12" s="24">
        <f>SUM(D5:D10)</f>
        <v>18200</v>
      </c>
      <c r="E12" s="24">
        <f>SUM(E5:E10)</f>
        <v>364</v>
      </c>
      <c r="F12" s="28">
        <f>SUM(F5:F10)</f>
        <v>10564</v>
      </c>
      <c r="M12" s="2"/>
    </row>
    <row r="13" spans="1:13" ht="15.75" x14ac:dyDescent="0.25">
      <c r="A13" s="25"/>
      <c r="B13" s="25" t="s">
        <v>52</v>
      </c>
      <c r="C13" s="25">
        <f>AVERAGE(C5:C10)</f>
        <v>1700</v>
      </c>
      <c r="D13" s="26">
        <f>AVERAGE(D5:D10)</f>
        <v>3033.3333333333335</v>
      </c>
      <c r="E13" s="26">
        <f t="shared" ref="E13:F13" si="2">AVERAGE(E5:E10)</f>
        <v>60.666666666666664</v>
      </c>
      <c r="F13" s="29">
        <f t="shared" si="2"/>
        <v>1760.6666666666667</v>
      </c>
      <c r="M13" s="2"/>
    </row>
    <row r="14" spans="1:13" ht="15.75" x14ac:dyDescent="0.25">
      <c r="A14" s="25"/>
      <c r="B14" s="25" t="s">
        <v>53</v>
      </c>
      <c r="C14" s="25">
        <f>MAX(C5:C10)</f>
        <v>2000</v>
      </c>
      <c r="D14" s="25">
        <f>MAX(D5:D10)</f>
        <v>4500</v>
      </c>
      <c r="E14" s="25">
        <f>MAX(E5:E10)</f>
        <v>90</v>
      </c>
      <c r="F14" s="27">
        <f>MAX(F5:F10)</f>
        <v>2090</v>
      </c>
      <c r="H14" s="20"/>
      <c r="M14" s="2"/>
    </row>
    <row r="15" spans="1:13" ht="15.75" x14ac:dyDescent="0.25">
      <c r="A15" s="25"/>
      <c r="B15" s="25" t="s">
        <v>54</v>
      </c>
      <c r="C15" s="25">
        <f>MIN(C5:C10)</f>
        <v>1500</v>
      </c>
      <c r="D15" s="25">
        <f>MIN(D5:D10)</f>
        <v>2200</v>
      </c>
      <c r="E15" s="25">
        <f>MIN(E5:E10)</f>
        <v>44</v>
      </c>
      <c r="F15" s="27">
        <f>MIN(F5:F10)</f>
        <v>1544</v>
      </c>
      <c r="M15" s="2"/>
    </row>
    <row r="16" spans="1:13" ht="15.75" x14ac:dyDescent="0.25">
      <c r="A16" s="30"/>
      <c r="B16" s="30" t="s">
        <v>55</v>
      </c>
      <c r="C16" s="30">
        <f>COUNT(C5:C10)</f>
        <v>6</v>
      </c>
      <c r="D16" s="30">
        <f>COUNT(D5:D10)</f>
        <v>6</v>
      </c>
      <c r="E16" s="30">
        <f>COUNT(E5:E10)</f>
        <v>6</v>
      </c>
      <c r="F16" s="31">
        <f>COUNT(F5:F10)</f>
        <v>6</v>
      </c>
      <c r="M16" s="2"/>
    </row>
    <row r="17" spans="1:13" ht="15.75" x14ac:dyDescent="0.25">
      <c r="A17" s="2"/>
      <c r="B17" s="2"/>
      <c r="C17" s="2"/>
      <c r="D17" s="2"/>
      <c r="E17" s="2"/>
      <c r="F17" s="2"/>
      <c r="M17" s="2"/>
    </row>
    <row r="18" spans="1:13" ht="15.75" x14ac:dyDescent="0.25">
      <c r="A18" s="2"/>
      <c r="B18" s="2"/>
      <c r="C18" s="2"/>
      <c r="D18" s="2"/>
      <c r="E18" s="2"/>
      <c r="F18" s="2"/>
      <c r="M18" s="2"/>
    </row>
  </sheetData>
  <mergeCells count="2">
    <mergeCell ref="A1:F1"/>
    <mergeCell ref="A2:F2"/>
  </mergeCells>
  <pageMargins left="0.7" right="0.7" top="0.75" bottom="0.75" header="0.3" footer="0.3"/>
  <pageSetup orientation="portrait" r:id="rId1"/>
  <headerFooter>
    <oddHeader>&amp;LMushaque Ali&amp;C&amp;P
&amp;R023-23-0165</oddHeader>
    <oddFooter>&amp;LDate:  7 November 2023&amp;RTime:   12:00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G17" sqref="G17"/>
    </sheetView>
  </sheetViews>
  <sheetFormatPr defaultRowHeight="15" x14ac:dyDescent="0.25"/>
  <cols>
    <col min="1" max="1" width="9.7109375" customWidth="1"/>
    <col min="2" max="2" width="11.140625" customWidth="1"/>
    <col min="3" max="3" width="12.28515625" customWidth="1"/>
    <col min="4" max="4" width="11.85546875" customWidth="1"/>
    <col min="5" max="5" width="12.42578125" customWidth="1"/>
    <col min="6" max="6" width="11.5703125" bestFit="1" customWidth="1"/>
    <col min="7" max="7" width="12.85546875" customWidth="1"/>
  </cols>
  <sheetData>
    <row r="1" spans="1:10" ht="63" x14ac:dyDescent="0.25">
      <c r="A1" s="35" t="s">
        <v>56</v>
      </c>
      <c r="B1" s="35" t="s">
        <v>57</v>
      </c>
      <c r="C1" s="35" t="s">
        <v>58</v>
      </c>
      <c r="D1" s="35" t="s">
        <v>59</v>
      </c>
      <c r="E1" s="35" t="s">
        <v>60</v>
      </c>
      <c r="F1" s="35" t="s">
        <v>61</v>
      </c>
      <c r="G1" s="35" t="s">
        <v>62</v>
      </c>
    </row>
    <row r="2" spans="1:10" ht="15.75" x14ac:dyDescent="0.25">
      <c r="A2" s="4">
        <v>100</v>
      </c>
      <c r="B2" s="4">
        <v>115</v>
      </c>
      <c r="C2" s="4">
        <v>30</v>
      </c>
      <c r="D2" s="4">
        <f>IF(C2&lt;100,50,100)</f>
        <v>50</v>
      </c>
      <c r="E2" s="36">
        <f>B2*C2</f>
        <v>3450</v>
      </c>
      <c r="F2" s="37">
        <f>E2+D2</f>
        <v>3500</v>
      </c>
      <c r="G2" s="38" t="str">
        <f>IF(F2&gt;3500,"high","reasonable")</f>
        <v>reasonable</v>
      </c>
      <c r="I2" s="40"/>
    </row>
    <row r="3" spans="1:10" ht="15.75" x14ac:dyDescent="0.25">
      <c r="A3" s="4">
        <v>101</v>
      </c>
      <c r="B3" s="5">
        <v>256</v>
      </c>
      <c r="C3" s="5">
        <v>12</v>
      </c>
      <c r="D3" s="4">
        <f t="shared" ref="D3:D9" si="0">IF(C3&lt;100,50,100)</f>
        <v>50</v>
      </c>
      <c r="E3" s="36">
        <f t="shared" ref="E3:E9" si="1">B3*C3</f>
        <v>3072</v>
      </c>
      <c r="F3" s="37">
        <f t="shared" ref="F3:F9" si="2">E3+D3</f>
        <v>3122</v>
      </c>
      <c r="G3" s="38" t="str">
        <f t="shared" ref="G3:G9" si="3">IF(F3&gt;3500,"high","reasonable")</f>
        <v>reasonable</v>
      </c>
      <c r="J3" s="39"/>
    </row>
    <row r="4" spans="1:10" ht="15.75" x14ac:dyDescent="0.25">
      <c r="A4" s="4">
        <v>102</v>
      </c>
      <c r="B4" s="4">
        <v>49</v>
      </c>
      <c r="C4" s="4">
        <v>56</v>
      </c>
      <c r="D4" s="4">
        <f t="shared" si="0"/>
        <v>50</v>
      </c>
      <c r="E4" s="36">
        <f t="shared" si="1"/>
        <v>2744</v>
      </c>
      <c r="F4" s="37">
        <f t="shared" si="2"/>
        <v>2794</v>
      </c>
      <c r="G4" s="38" t="str">
        <f t="shared" si="3"/>
        <v>reasonable</v>
      </c>
    </row>
    <row r="5" spans="1:10" ht="15.75" x14ac:dyDescent="0.25">
      <c r="A5" s="4">
        <v>103</v>
      </c>
      <c r="B5" s="5">
        <v>23</v>
      </c>
      <c r="C5" s="5">
        <v>150</v>
      </c>
      <c r="D5" s="4">
        <f t="shared" si="0"/>
        <v>100</v>
      </c>
      <c r="E5" s="36">
        <f t="shared" si="1"/>
        <v>3450</v>
      </c>
      <c r="F5" s="37">
        <f t="shared" si="2"/>
        <v>3550</v>
      </c>
      <c r="G5" s="38" t="str">
        <f t="shared" si="3"/>
        <v>high</v>
      </c>
    </row>
    <row r="6" spans="1:10" ht="15.75" x14ac:dyDescent="0.25">
      <c r="A6" s="4">
        <v>104</v>
      </c>
      <c r="B6" s="4">
        <v>848</v>
      </c>
      <c r="C6" s="4">
        <v>5</v>
      </c>
      <c r="D6" s="4">
        <f t="shared" si="0"/>
        <v>50</v>
      </c>
      <c r="E6" s="36">
        <f t="shared" si="1"/>
        <v>4240</v>
      </c>
      <c r="F6" s="37">
        <f t="shared" si="2"/>
        <v>4290</v>
      </c>
      <c r="G6" s="38" t="str">
        <f t="shared" si="3"/>
        <v>high</v>
      </c>
    </row>
    <row r="7" spans="1:10" ht="15.75" x14ac:dyDescent="0.25">
      <c r="A7" s="4">
        <v>105</v>
      </c>
      <c r="B7" s="5">
        <v>200</v>
      </c>
      <c r="C7" s="5">
        <v>56</v>
      </c>
      <c r="D7" s="4">
        <f t="shared" si="0"/>
        <v>50</v>
      </c>
      <c r="E7" s="36">
        <f t="shared" si="1"/>
        <v>11200</v>
      </c>
      <c r="F7" s="37">
        <f t="shared" si="2"/>
        <v>11250</v>
      </c>
      <c r="G7" s="38" t="str">
        <f t="shared" si="3"/>
        <v>high</v>
      </c>
    </row>
    <row r="8" spans="1:10" ht="15.75" x14ac:dyDescent="0.25">
      <c r="A8" s="4">
        <v>106</v>
      </c>
      <c r="B8" s="4">
        <v>294</v>
      </c>
      <c r="C8" s="4">
        <v>300</v>
      </c>
      <c r="D8" s="4">
        <f t="shared" si="0"/>
        <v>100</v>
      </c>
      <c r="E8" s="36">
        <f t="shared" si="1"/>
        <v>88200</v>
      </c>
      <c r="F8" s="37">
        <f t="shared" si="2"/>
        <v>88300</v>
      </c>
      <c r="G8" s="38" t="str">
        <f t="shared" si="3"/>
        <v>high</v>
      </c>
    </row>
    <row r="9" spans="1:10" ht="15.75" x14ac:dyDescent="0.25">
      <c r="A9" s="4">
        <v>107</v>
      </c>
      <c r="B9" s="5">
        <v>4</v>
      </c>
      <c r="C9" s="5">
        <v>90</v>
      </c>
      <c r="D9" s="4">
        <f t="shared" si="0"/>
        <v>50</v>
      </c>
      <c r="E9" s="36">
        <f t="shared" si="1"/>
        <v>360</v>
      </c>
      <c r="F9" s="37">
        <f t="shared" si="2"/>
        <v>410</v>
      </c>
      <c r="G9" s="38" t="str">
        <f t="shared" si="3"/>
        <v>reasonable</v>
      </c>
    </row>
    <row r="10" spans="1:10" x14ac:dyDescent="0.25">
      <c r="A10" s="14"/>
      <c r="B10" s="14"/>
      <c r="C10" s="14"/>
      <c r="D10" s="14"/>
      <c r="E10" s="14"/>
      <c r="F10" s="14"/>
      <c r="G10" s="14"/>
    </row>
    <row r="11" spans="1:10" x14ac:dyDescent="0.25">
      <c r="A11" s="41" t="s">
        <v>63</v>
      </c>
      <c r="B11" s="41"/>
      <c r="C11" s="14">
        <f>COUNT(A2:A9)</f>
        <v>8</v>
      </c>
      <c r="D11" s="14"/>
      <c r="E11" s="14"/>
      <c r="F11" s="14"/>
      <c r="G11" s="14"/>
    </row>
    <row r="12" spans="1:10" x14ac:dyDescent="0.25">
      <c r="A12" s="72" t="s">
        <v>64</v>
      </c>
      <c r="B12" s="72"/>
      <c r="C12" s="42">
        <f>AVERAGE(D2:D9)</f>
        <v>62.5</v>
      </c>
      <c r="D12" s="14"/>
      <c r="E12" s="14"/>
      <c r="F12" s="14"/>
      <c r="G12" s="14"/>
    </row>
    <row r="13" spans="1:10" x14ac:dyDescent="0.25">
      <c r="A13" s="72" t="s">
        <v>65</v>
      </c>
      <c r="B13" s="72"/>
      <c r="C13" s="14">
        <f>MIN(C2:C9)</f>
        <v>5</v>
      </c>
      <c r="D13" s="14"/>
      <c r="E13" s="14"/>
      <c r="F13" s="14"/>
      <c r="G13" s="14"/>
    </row>
    <row r="14" spans="1:10" x14ac:dyDescent="0.25">
      <c r="A14" s="14" t="s">
        <v>66</v>
      </c>
      <c r="B14" s="14"/>
      <c r="C14" s="14">
        <f>MAX(C2:C9)</f>
        <v>300</v>
      </c>
      <c r="D14" s="14"/>
      <c r="E14" s="14"/>
      <c r="F14" s="14"/>
      <c r="G14" s="14"/>
    </row>
  </sheetData>
  <mergeCells count="2">
    <mergeCell ref="A12:B12"/>
    <mergeCell ref="A13:B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8" zoomScale="98" zoomScaleNormal="98" workbookViewId="0">
      <selection activeCell="A2" sqref="A2"/>
    </sheetView>
  </sheetViews>
  <sheetFormatPr defaultRowHeight="15" x14ac:dyDescent="0.25"/>
  <cols>
    <col min="1" max="1" width="14.7109375" customWidth="1"/>
    <col min="2" max="2" width="10.85546875" customWidth="1"/>
    <col min="3" max="3" width="13.42578125" customWidth="1"/>
    <col min="4" max="4" width="11.5703125" customWidth="1"/>
    <col min="5" max="5" width="10.7109375" customWidth="1"/>
    <col min="6" max="6" width="12" customWidth="1"/>
  </cols>
  <sheetData>
    <row r="1" spans="1:6" x14ac:dyDescent="0.25">
      <c r="A1" s="44"/>
      <c r="B1" s="44" t="s">
        <v>67</v>
      </c>
      <c r="C1" s="44" t="s">
        <v>68</v>
      </c>
      <c r="D1" s="44" t="s">
        <v>69</v>
      </c>
      <c r="E1" s="44" t="s">
        <v>70</v>
      </c>
      <c r="F1" s="44" t="s">
        <v>71</v>
      </c>
    </row>
    <row r="2" spans="1:6" x14ac:dyDescent="0.25">
      <c r="A2" s="44" t="s">
        <v>72</v>
      </c>
      <c r="B2" s="45">
        <v>65</v>
      </c>
      <c r="C2" s="45">
        <v>70</v>
      </c>
      <c r="D2" s="45">
        <v>56</v>
      </c>
      <c r="E2" s="45">
        <v>95</v>
      </c>
      <c r="F2" s="45">
        <v>67</v>
      </c>
    </row>
    <row r="3" spans="1:6" x14ac:dyDescent="0.25">
      <c r="A3" s="44" t="s">
        <v>73</v>
      </c>
      <c r="B3" s="45">
        <v>78</v>
      </c>
      <c r="C3" s="45">
        <v>78</v>
      </c>
      <c r="D3" s="45">
        <v>67</v>
      </c>
      <c r="E3" s="45">
        <v>93</v>
      </c>
      <c r="F3" s="45">
        <v>75</v>
      </c>
    </row>
    <row r="4" spans="1:6" x14ac:dyDescent="0.25">
      <c r="A4" s="44" t="s">
        <v>74</v>
      </c>
      <c r="B4" s="45">
        <v>95</v>
      </c>
      <c r="C4" s="45">
        <v>89</v>
      </c>
      <c r="D4" s="45">
        <v>87</v>
      </c>
      <c r="E4" s="45">
        <v>88</v>
      </c>
      <c r="F4" s="45">
        <v>75</v>
      </c>
    </row>
    <row r="5" spans="1:6" x14ac:dyDescent="0.25">
      <c r="A5" s="44" t="s">
        <v>75</v>
      </c>
      <c r="B5" s="45">
        <v>89</v>
      </c>
      <c r="C5" s="45">
        <v>89</v>
      </c>
      <c r="D5" s="45">
        <v>56</v>
      </c>
      <c r="E5" s="45">
        <v>83</v>
      </c>
      <c r="F5" s="45">
        <v>88</v>
      </c>
    </row>
    <row r="6" spans="1:6" x14ac:dyDescent="0.25">
      <c r="A6" s="44" t="s">
        <v>76</v>
      </c>
      <c r="B6" s="45">
        <v>56</v>
      </c>
      <c r="C6" s="45">
        <v>77</v>
      </c>
      <c r="D6" s="45">
        <v>64</v>
      </c>
      <c r="E6" s="45">
        <v>75</v>
      </c>
      <c r="F6" s="45">
        <v>56</v>
      </c>
    </row>
    <row r="7" spans="1:6" x14ac:dyDescent="0.25">
      <c r="A7" s="44" t="s">
        <v>77</v>
      </c>
      <c r="B7" s="45">
        <v>67</v>
      </c>
      <c r="C7" s="45">
        <v>75</v>
      </c>
      <c r="D7" s="45">
        <v>60</v>
      </c>
      <c r="E7" s="45">
        <v>57</v>
      </c>
      <c r="F7" s="45">
        <v>45</v>
      </c>
    </row>
    <row r="8" spans="1:6" x14ac:dyDescent="0.25">
      <c r="A8" s="44" t="s">
        <v>78</v>
      </c>
      <c r="B8" s="45">
        <v>72</v>
      </c>
      <c r="C8" s="45">
        <v>71</v>
      </c>
      <c r="D8" s="45">
        <v>80</v>
      </c>
      <c r="E8" s="45">
        <v>85</v>
      </c>
      <c r="F8" s="45">
        <v>46</v>
      </c>
    </row>
    <row r="9" spans="1:6" x14ac:dyDescent="0.25">
      <c r="A9" s="44" t="s">
        <v>79</v>
      </c>
      <c r="B9" s="45">
        <v>0</v>
      </c>
      <c r="C9" s="45">
        <v>81</v>
      </c>
      <c r="D9" s="45">
        <v>78</v>
      </c>
      <c r="E9" s="45">
        <v>78</v>
      </c>
      <c r="F9" s="45">
        <v>52</v>
      </c>
    </row>
    <row r="10" spans="1:6" x14ac:dyDescent="0.25">
      <c r="A10" s="44" t="s">
        <v>80</v>
      </c>
      <c r="B10" s="45">
        <v>56</v>
      </c>
      <c r="C10" s="45">
        <v>89</v>
      </c>
      <c r="D10" s="45">
        <v>36</v>
      </c>
      <c r="E10" s="45">
        <v>0</v>
      </c>
      <c r="F10" s="45">
        <v>63</v>
      </c>
    </row>
    <row r="11" spans="1:6" x14ac:dyDescent="0.25">
      <c r="A11" s="44" t="s">
        <v>81</v>
      </c>
      <c r="B11" s="45">
        <v>85</v>
      </c>
      <c r="C11" s="45">
        <v>87</v>
      </c>
      <c r="D11" s="45">
        <v>30</v>
      </c>
      <c r="E11" s="45">
        <v>57</v>
      </c>
      <c r="F11" s="45">
        <v>67</v>
      </c>
    </row>
    <row r="12" spans="1:6" x14ac:dyDescent="0.25">
      <c r="A12" s="14"/>
      <c r="B12" s="45"/>
      <c r="C12" s="45"/>
      <c r="D12" s="45"/>
      <c r="E12" s="45"/>
      <c r="F12" s="45"/>
    </row>
    <row r="13" spans="1:6" x14ac:dyDescent="0.25">
      <c r="A13" s="46" t="s">
        <v>82</v>
      </c>
      <c r="B13" s="47">
        <f>MIN(B2:B11)</f>
        <v>0</v>
      </c>
      <c r="C13" s="47">
        <f t="shared" ref="C13:F13" si="0">MIN(C2:C11)</f>
        <v>70</v>
      </c>
      <c r="D13" s="47">
        <f t="shared" si="0"/>
        <v>30</v>
      </c>
      <c r="E13" s="47">
        <f t="shared" si="0"/>
        <v>0</v>
      </c>
      <c r="F13" s="47">
        <f t="shared" si="0"/>
        <v>45</v>
      </c>
    </row>
    <row r="14" spans="1:6" x14ac:dyDescent="0.25">
      <c r="A14" s="46" t="s">
        <v>83</v>
      </c>
      <c r="B14" s="47">
        <f>MAX(B2:B11)</f>
        <v>95</v>
      </c>
      <c r="C14" s="47">
        <f t="shared" ref="C14:F14" si="1">MAX(C2:C11)</f>
        <v>89</v>
      </c>
      <c r="D14" s="47">
        <f t="shared" si="1"/>
        <v>87</v>
      </c>
      <c r="E14" s="47">
        <f t="shared" si="1"/>
        <v>95</v>
      </c>
      <c r="F14" s="47">
        <f t="shared" si="1"/>
        <v>88</v>
      </c>
    </row>
    <row r="15" spans="1:6" x14ac:dyDescent="0.25">
      <c r="A15" s="48" t="s">
        <v>84</v>
      </c>
      <c r="B15" s="47">
        <f>SUM(B2:B11)</f>
        <v>663</v>
      </c>
      <c r="C15" s="49">
        <f t="shared" ref="C15:F15" si="2">SUM(C2:C11)</f>
        <v>806</v>
      </c>
      <c r="D15" s="47">
        <f t="shared" si="2"/>
        <v>614</v>
      </c>
      <c r="E15" s="47">
        <f t="shared" si="2"/>
        <v>711</v>
      </c>
      <c r="F15" s="50">
        <f t="shared" si="2"/>
        <v>634</v>
      </c>
    </row>
    <row r="16" spans="1:6" x14ac:dyDescent="0.25">
      <c r="A16" s="51" t="s">
        <v>85</v>
      </c>
      <c r="B16" s="47">
        <f>AVERAGE(B2:B11)</f>
        <v>66.3</v>
      </c>
      <c r="C16" s="52">
        <f t="shared" ref="C16:F16" si="3">AVERAGE(C2:C11)</f>
        <v>80.599999999999994</v>
      </c>
      <c r="D16" s="47">
        <f t="shared" si="3"/>
        <v>61.4</v>
      </c>
      <c r="E16" s="47">
        <f t="shared" si="3"/>
        <v>71.099999999999994</v>
      </c>
      <c r="F16" s="47">
        <f t="shared" si="3"/>
        <v>63.4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20" workbookViewId="0">
      <selection activeCell="I12" sqref="I12"/>
    </sheetView>
  </sheetViews>
  <sheetFormatPr defaultRowHeight="15" x14ac:dyDescent="0.25"/>
  <cols>
    <col min="4" max="4" width="10.7109375" customWidth="1"/>
  </cols>
  <sheetData>
    <row r="1" spans="1:7" ht="27" customHeight="1" x14ac:dyDescent="0.25">
      <c r="A1" s="73" t="s">
        <v>92</v>
      </c>
      <c r="B1" s="73"/>
      <c r="C1" s="73"/>
      <c r="D1" s="73"/>
      <c r="E1" s="73"/>
      <c r="F1" s="73"/>
      <c r="G1" s="73"/>
    </row>
    <row r="2" spans="1:7" x14ac:dyDescent="0.25"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</row>
    <row r="3" spans="1:7" x14ac:dyDescent="0.25">
      <c r="B3" s="53">
        <v>45231</v>
      </c>
      <c r="C3" s="43">
        <v>100</v>
      </c>
      <c r="D3" s="43">
        <v>20</v>
      </c>
      <c r="E3" s="43">
        <v>20</v>
      </c>
      <c r="F3" s="43">
        <v>10</v>
      </c>
      <c r="G3" s="43">
        <v>0</v>
      </c>
    </row>
    <row r="4" spans="1:7" x14ac:dyDescent="0.25">
      <c r="B4" s="53">
        <v>45232</v>
      </c>
      <c r="C4" s="43">
        <v>120</v>
      </c>
      <c r="D4" s="43">
        <v>20</v>
      </c>
      <c r="E4" s="43">
        <v>20</v>
      </c>
      <c r="F4" s="43">
        <v>0</v>
      </c>
      <c r="G4" s="43">
        <v>0</v>
      </c>
    </row>
    <row r="5" spans="1:7" x14ac:dyDescent="0.25">
      <c r="B5" s="53">
        <v>45233</v>
      </c>
      <c r="C5" s="43">
        <v>150</v>
      </c>
      <c r="D5" s="43">
        <v>10</v>
      </c>
      <c r="E5" s="43">
        <v>20</v>
      </c>
      <c r="F5" s="43">
        <v>0</v>
      </c>
      <c r="G5" s="43">
        <v>0</v>
      </c>
    </row>
    <row r="6" spans="1:7" x14ac:dyDescent="0.25">
      <c r="B6" s="53">
        <v>45234</v>
      </c>
      <c r="C6" s="43">
        <v>100</v>
      </c>
      <c r="D6" s="43">
        <v>20</v>
      </c>
      <c r="E6" s="43">
        <v>20</v>
      </c>
      <c r="F6" s="43">
        <v>0</v>
      </c>
      <c r="G6" s="43">
        <v>0</v>
      </c>
    </row>
    <row r="7" spans="1:7" x14ac:dyDescent="0.25">
      <c r="B7" s="53">
        <v>45235</v>
      </c>
      <c r="C7" s="43">
        <v>100</v>
      </c>
      <c r="D7" s="43">
        <v>0</v>
      </c>
      <c r="E7" s="43">
        <v>40</v>
      </c>
      <c r="F7" s="43">
        <v>0</v>
      </c>
      <c r="G7" s="43">
        <v>0</v>
      </c>
    </row>
    <row r="8" spans="1:7" x14ac:dyDescent="0.25">
      <c r="B8" s="53">
        <v>45236</v>
      </c>
      <c r="C8" s="43">
        <v>150</v>
      </c>
      <c r="D8" s="43">
        <v>10</v>
      </c>
      <c r="E8" s="43">
        <v>0</v>
      </c>
      <c r="F8" s="43">
        <v>0</v>
      </c>
      <c r="G8" s="43">
        <v>50</v>
      </c>
    </row>
    <row r="9" spans="1:7" x14ac:dyDescent="0.25">
      <c r="B9" s="53">
        <v>45237</v>
      </c>
      <c r="C9" s="43">
        <v>120</v>
      </c>
      <c r="D9" s="43">
        <v>20</v>
      </c>
      <c r="E9" s="43">
        <v>0</v>
      </c>
      <c r="F9" s="43">
        <v>0</v>
      </c>
      <c r="G9" s="43">
        <v>0</v>
      </c>
    </row>
    <row r="10" spans="1:7" x14ac:dyDescent="0.25">
      <c r="B10" s="54"/>
    </row>
    <row r="11" spans="1:7" x14ac:dyDescent="0.25">
      <c r="A11" t="s">
        <v>93</v>
      </c>
      <c r="B11" s="54"/>
    </row>
    <row r="12" spans="1:7" x14ac:dyDescent="0.25">
      <c r="B12" s="53">
        <v>45238</v>
      </c>
      <c r="C12" s="43">
        <v>120</v>
      </c>
      <c r="D12" s="43">
        <v>0</v>
      </c>
      <c r="E12" s="43">
        <v>0</v>
      </c>
      <c r="F12" s="43">
        <v>0</v>
      </c>
      <c r="G12" s="43">
        <v>0</v>
      </c>
    </row>
    <row r="13" spans="1:7" x14ac:dyDescent="0.25">
      <c r="B13" s="53">
        <v>45239</v>
      </c>
      <c r="C13" s="43">
        <v>120</v>
      </c>
      <c r="D13" s="43">
        <v>20</v>
      </c>
      <c r="E13" s="43">
        <v>0</v>
      </c>
      <c r="F13" s="43">
        <v>0</v>
      </c>
      <c r="G13" s="43">
        <v>0</v>
      </c>
    </row>
    <row r="14" spans="1:7" x14ac:dyDescent="0.25">
      <c r="B14" s="53">
        <v>45240</v>
      </c>
      <c r="C14" s="43">
        <v>100</v>
      </c>
      <c r="D14" s="43">
        <v>0</v>
      </c>
      <c r="E14" s="43">
        <v>20</v>
      </c>
      <c r="F14" s="43">
        <v>0</v>
      </c>
      <c r="G14" s="43">
        <v>0</v>
      </c>
    </row>
    <row r="15" spans="1:7" x14ac:dyDescent="0.25">
      <c r="B15" s="53">
        <v>45241</v>
      </c>
      <c r="C15" s="43">
        <v>150</v>
      </c>
      <c r="D15" s="43">
        <v>30</v>
      </c>
      <c r="E15" s="43">
        <v>20</v>
      </c>
      <c r="F15" s="43">
        <v>0</v>
      </c>
      <c r="G15" s="43">
        <v>0</v>
      </c>
    </row>
    <row r="16" spans="1:7" x14ac:dyDescent="0.25">
      <c r="B16" s="53">
        <v>45242</v>
      </c>
      <c r="C16" s="43">
        <v>110</v>
      </c>
      <c r="D16" s="43">
        <v>10</v>
      </c>
      <c r="E16" s="43">
        <v>10</v>
      </c>
      <c r="F16" s="43">
        <v>10</v>
      </c>
      <c r="G16" s="43">
        <v>0</v>
      </c>
    </row>
    <row r="17" spans="1:7" x14ac:dyDescent="0.25">
      <c r="B17" s="53">
        <v>45243</v>
      </c>
      <c r="C17" s="43">
        <v>120</v>
      </c>
      <c r="D17" s="43">
        <v>10</v>
      </c>
      <c r="E17" s="43">
        <v>40</v>
      </c>
      <c r="F17" s="43">
        <v>0</v>
      </c>
      <c r="G17" s="43">
        <v>0</v>
      </c>
    </row>
    <row r="18" spans="1:7" x14ac:dyDescent="0.25">
      <c r="B18" s="53">
        <v>45244</v>
      </c>
      <c r="C18" s="43">
        <v>100</v>
      </c>
      <c r="D18" s="43">
        <v>0</v>
      </c>
      <c r="E18" s="43">
        <v>20</v>
      </c>
      <c r="F18" s="43">
        <v>0</v>
      </c>
      <c r="G18" s="43">
        <v>70</v>
      </c>
    </row>
    <row r="19" spans="1:7" x14ac:dyDescent="0.25">
      <c r="B19" s="54"/>
    </row>
    <row r="20" spans="1:7" x14ac:dyDescent="0.25">
      <c r="A20" t="s">
        <v>94</v>
      </c>
    </row>
    <row r="21" spans="1:7" x14ac:dyDescent="0.25">
      <c r="B21" s="59">
        <v>45245</v>
      </c>
      <c r="C21" s="59">
        <v>45025</v>
      </c>
      <c r="D21" s="60" t="s">
        <v>120</v>
      </c>
      <c r="E21" s="61" t="s">
        <v>120</v>
      </c>
      <c r="F21" s="61" t="s">
        <v>120</v>
      </c>
      <c r="G21" s="64" t="s">
        <v>120</v>
      </c>
    </row>
    <row r="22" spans="1:7" x14ac:dyDescent="0.25">
      <c r="B22" s="59">
        <v>45246</v>
      </c>
      <c r="C22" s="59">
        <v>45025</v>
      </c>
      <c r="D22" s="59">
        <v>44936</v>
      </c>
      <c r="E22" s="61" t="s">
        <v>120</v>
      </c>
      <c r="F22" s="61" t="s">
        <v>120</v>
      </c>
      <c r="G22" s="59" t="s">
        <v>120</v>
      </c>
    </row>
    <row r="23" spans="1:7" x14ac:dyDescent="0.25">
      <c r="B23" s="59">
        <v>45247</v>
      </c>
      <c r="C23" s="59">
        <v>45025</v>
      </c>
      <c r="D23" s="59">
        <v>44946</v>
      </c>
      <c r="E23" s="61" t="s">
        <v>120</v>
      </c>
      <c r="F23" s="61" t="s">
        <v>120</v>
      </c>
      <c r="G23" s="60" t="s">
        <v>120</v>
      </c>
    </row>
    <row r="24" spans="1:7" x14ac:dyDescent="0.25">
      <c r="B24" s="59">
        <v>45248</v>
      </c>
      <c r="C24" s="59">
        <v>45045</v>
      </c>
      <c r="D24" s="59">
        <v>44946</v>
      </c>
      <c r="E24" s="61" t="s">
        <v>120</v>
      </c>
      <c r="F24" s="61" t="s">
        <v>120</v>
      </c>
      <c r="G24" s="59" t="s">
        <v>120</v>
      </c>
    </row>
    <row r="25" spans="1:7" x14ac:dyDescent="0.25">
      <c r="B25" s="59">
        <v>45249</v>
      </c>
      <c r="C25" s="59">
        <v>45045</v>
      </c>
      <c r="D25" s="59">
        <v>44946</v>
      </c>
      <c r="E25" s="61" t="s">
        <v>120</v>
      </c>
      <c r="F25" s="61" t="s">
        <v>120</v>
      </c>
      <c r="G25" s="59" t="s">
        <v>120</v>
      </c>
    </row>
    <row r="26" spans="1:7" x14ac:dyDescent="0.25">
      <c r="B26" s="59">
        <v>45250</v>
      </c>
      <c r="C26" s="59">
        <v>45045</v>
      </c>
      <c r="D26" s="59">
        <v>44936</v>
      </c>
      <c r="E26" s="60">
        <v>44936</v>
      </c>
      <c r="F26" s="61" t="s">
        <v>120</v>
      </c>
      <c r="G26" s="60" t="s">
        <v>120</v>
      </c>
    </row>
    <row r="27" spans="1:7" x14ac:dyDescent="0.25">
      <c r="B27" s="59">
        <v>45251</v>
      </c>
      <c r="C27" s="59">
        <v>45025</v>
      </c>
      <c r="D27" s="61" t="s">
        <v>120</v>
      </c>
      <c r="E27" s="61" t="s">
        <v>120</v>
      </c>
      <c r="F27" s="61" t="s">
        <v>121</v>
      </c>
      <c r="G27" s="59">
        <v>44980</v>
      </c>
    </row>
    <row r="29" spans="1:7" x14ac:dyDescent="0.25">
      <c r="A29" t="s">
        <v>95</v>
      </c>
      <c r="B29" s="54"/>
    </row>
    <row r="30" spans="1:7" x14ac:dyDescent="0.25">
      <c r="B30" s="53">
        <v>45252</v>
      </c>
      <c r="C30" s="43">
        <v>150</v>
      </c>
      <c r="D30" s="43">
        <v>20</v>
      </c>
      <c r="E30" s="43">
        <v>20</v>
      </c>
      <c r="F30" s="43">
        <v>10</v>
      </c>
      <c r="G30" s="43">
        <v>0</v>
      </c>
    </row>
    <row r="31" spans="1:7" x14ac:dyDescent="0.25">
      <c r="B31" s="53">
        <v>45253</v>
      </c>
      <c r="C31" s="43">
        <v>120</v>
      </c>
      <c r="D31" s="43">
        <v>20</v>
      </c>
      <c r="E31" s="43">
        <v>10</v>
      </c>
      <c r="F31" s="43">
        <v>0</v>
      </c>
      <c r="G31" s="43">
        <v>0</v>
      </c>
    </row>
    <row r="32" spans="1:7" x14ac:dyDescent="0.25">
      <c r="B32" s="53">
        <v>45254</v>
      </c>
      <c r="C32" s="43">
        <v>110</v>
      </c>
      <c r="D32" s="43">
        <v>10</v>
      </c>
      <c r="E32" s="43">
        <v>20</v>
      </c>
      <c r="F32" s="43">
        <v>0</v>
      </c>
      <c r="G32" s="43">
        <v>0</v>
      </c>
    </row>
    <row r="33" spans="1:8" x14ac:dyDescent="0.25">
      <c r="B33" s="53">
        <v>45255</v>
      </c>
      <c r="C33" s="43">
        <v>100</v>
      </c>
      <c r="D33" s="43">
        <v>20</v>
      </c>
      <c r="E33" s="43">
        <v>20</v>
      </c>
      <c r="F33" s="43">
        <v>0</v>
      </c>
      <c r="G33" s="43">
        <v>10</v>
      </c>
    </row>
    <row r="34" spans="1:8" x14ac:dyDescent="0.25">
      <c r="B34" s="53">
        <v>45256</v>
      </c>
      <c r="C34" s="43">
        <v>100</v>
      </c>
      <c r="D34" s="43">
        <v>0</v>
      </c>
      <c r="E34" s="43">
        <v>30</v>
      </c>
      <c r="F34" s="43">
        <v>20</v>
      </c>
      <c r="G34" s="43">
        <v>0</v>
      </c>
    </row>
    <row r="35" spans="1:8" x14ac:dyDescent="0.25">
      <c r="B35" s="53">
        <v>45257</v>
      </c>
      <c r="C35" s="43">
        <v>130</v>
      </c>
      <c r="D35" s="43">
        <v>10</v>
      </c>
      <c r="E35" s="43">
        <v>0</v>
      </c>
      <c r="F35" s="43">
        <v>0</v>
      </c>
      <c r="G35" s="43">
        <v>0</v>
      </c>
    </row>
    <row r="36" spans="1:8" x14ac:dyDescent="0.25">
      <c r="B36" s="53">
        <v>45258</v>
      </c>
      <c r="C36" s="43">
        <v>120</v>
      </c>
      <c r="D36" s="43">
        <v>20</v>
      </c>
      <c r="E36" s="43">
        <v>10</v>
      </c>
      <c r="F36" s="43">
        <v>0</v>
      </c>
      <c r="G36" s="43">
        <v>0</v>
      </c>
    </row>
    <row r="38" spans="1:8" x14ac:dyDescent="0.25">
      <c r="A38" t="s">
        <v>96</v>
      </c>
    </row>
    <row r="39" spans="1:8" x14ac:dyDescent="0.25">
      <c r="B39" s="62">
        <v>45259</v>
      </c>
      <c r="C39" s="62">
        <v>45039</v>
      </c>
      <c r="D39" s="62">
        <v>44936</v>
      </c>
      <c r="E39" s="63" t="s">
        <v>120</v>
      </c>
      <c r="F39" s="62">
        <v>44936</v>
      </c>
      <c r="G39" s="63" t="s">
        <v>122</v>
      </c>
    </row>
    <row r="40" spans="1:8" x14ac:dyDescent="0.25">
      <c r="B40" s="62">
        <v>45260</v>
      </c>
      <c r="C40" s="62">
        <v>45069</v>
      </c>
      <c r="D40" s="63" t="s">
        <v>120</v>
      </c>
      <c r="E40" s="62">
        <v>44946</v>
      </c>
      <c r="F40" s="63" t="s">
        <v>122</v>
      </c>
      <c r="G40" s="63" t="s">
        <v>120</v>
      </c>
    </row>
    <row r="41" spans="1:8" x14ac:dyDescent="0.25">
      <c r="B41" s="55" t="s">
        <v>30</v>
      </c>
      <c r="C41">
        <f>SUM(C3:C18,C30:C36)</f>
        <v>2490</v>
      </c>
      <c r="D41">
        <f t="shared" ref="D41:G41" si="0">SUM(D3:D18,D30:D36)</f>
        <v>270</v>
      </c>
      <c r="E41">
        <f t="shared" si="0"/>
        <v>340</v>
      </c>
      <c r="F41">
        <f t="shared" si="0"/>
        <v>50</v>
      </c>
      <c r="G41">
        <f t="shared" si="0"/>
        <v>130</v>
      </c>
      <c r="H41">
        <f>SUM(C41:G41)</f>
        <v>3280</v>
      </c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topLeftCell="B14" zoomScaleNormal="100" workbookViewId="0">
      <selection activeCell="G3" sqref="G3:G7"/>
    </sheetView>
  </sheetViews>
  <sheetFormatPr defaultRowHeight="15" x14ac:dyDescent="0.25"/>
  <cols>
    <col min="1" max="1" width="8.5703125" customWidth="1"/>
    <col min="2" max="2" width="12.140625" customWidth="1"/>
    <col min="3" max="3" width="12.5703125" customWidth="1"/>
    <col min="4" max="4" width="14.140625" customWidth="1"/>
    <col min="5" max="5" width="13" customWidth="1"/>
    <col min="6" max="6" width="11.85546875" customWidth="1"/>
    <col min="7" max="7" width="13.42578125" customWidth="1"/>
  </cols>
  <sheetData>
    <row r="1" spans="1:7" ht="21" x14ac:dyDescent="0.25">
      <c r="A1" s="74" t="s">
        <v>97</v>
      </c>
      <c r="B1" s="74"/>
      <c r="C1" s="74"/>
      <c r="D1" s="74"/>
      <c r="E1" s="74"/>
      <c r="F1" s="74"/>
      <c r="G1" s="74"/>
    </row>
    <row r="2" spans="1:7" x14ac:dyDescent="0.25">
      <c r="A2" s="55" t="s">
        <v>98</v>
      </c>
      <c r="B2" s="55" t="s">
        <v>99</v>
      </c>
      <c r="C2" s="55" t="s">
        <v>100</v>
      </c>
      <c r="D2" s="55" t="s">
        <v>101</v>
      </c>
      <c r="E2" s="55" t="s">
        <v>102</v>
      </c>
      <c r="F2" s="55" t="s">
        <v>52</v>
      </c>
      <c r="G2" s="55" t="s">
        <v>103</v>
      </c>
    </row>
    <row r="3" spans="1:7" x14ac:dyDescent="0.25">
      <c r="A3" t="s">
        <v>104</v>
      </c>
      <c r="B3" t="s">
        <v>105</v>
      </c>
      <c r="C3" s="56">
        <v>22000</v>
      </c>
      <c r="D3" s="56">
        <v>29000</v>
      </c>
      <c r="E3" s="56">
        <v>19000</v>
      </c>
      <c r="F3" s="56">
        <f>AVERAGE(C3:E3)</f>
        <v>23333.333333333332</v>
      </c>
      <c r="G3" s="56">
        <f>MAX(C3:E3)</f>
        <v>29000</v>
      </c>
    </row>
    <row r="4" spans="1:7" x14ac:dyDescent="0.25">
      <c r="A4" t="s">
        <v>106</v>
      </c>
      <c r="B4" t="s">
        <v>107</v>
      </c>
      <c r="C4" s="56">
        <v>42000</v>
      </c>
      <c r="D4" s="56">
        <v>39000</v>
      </c>
      <c r="E4" s="56">
        <v>43000</v>
      </c>
      <c r="F4" s="56">
        <f t="shared" ref="F4:F7" si="0">AVERAGE(C4:E4)</f>
        <v>41333.333333333336</v>
      </c>
      <c r="G4" s="56">
        <f t="shared" ref="G4:G7" si="1">MAX(C4:E4)</f>
        <v>43000</v>
      </c>
    </row>
    <row r="5" spans="1:7" x14ac:dyDescent="0.25">
      <c r="A5" t="s">
        <v>108</v>
      </c>
      <c r="B5" t="s">
        <v>109</v>
      </c>
      <c r="C5" s="56">
        <v>18000</v>
      </c>
      <c r="D5" s="56">
        <v>20000</v>
      </c>
      <c r="E5" s="56">
        <v>72000</v>
      </c>
      <c r="F5" s="56">
        <f t="shared" si="0"/>
        <v>36666.666666666664</v>
      </c>
      <c r="G5" s="56">
        <f t="shared" si="1"/>
        <v>72000</v>
      </c>
    </row>
    <row r="6" spans="1:7" x14ac:dyDescent="0.25">
      <c r="A6" t="s">
        <v>110</v>
      </c>
      <c r="B6" t="s">
        <v>111</v>
      </c>
      <c r="C6" s="56">
        <v>35000</v>
      </c>
      <c r="D6" s="56">
        <v>26000</v>
      </c>
      <c r="E6" s="56">
        <v>31000</v>
      </c>
      <c r="F6" s="56">
        <f t="shared" si="0"/>
        <v>30666.666666666668</v>
      </c>
      <c r="G6" s="56">
        <f t="shared" si="1"/>
        <v>35000</v>
      </c>
    </row>
    <row r="7" spans="1:7" x14ac:dyDescent="0.25">
      <c r="A7" t="s">
        <v>112</v>
      </c>
      <c r="B7" t="s">
        <v>113</v>
      </c>
      <c r="C7" s="56">
        <v>12000</v>
      </c>
      <c r="D7" s="56">
        <v>15000</v>
      </c>
      <c r="E7" s="56">
        <v>13000</v>
      </c>
      <c r="F7" s="56">
        <f t="shared" si="0"/>
        <v>13333.333333333334</v>
      </c>
      <c r="G7" s="56">
        <f t="shared" si="1"/>
        <v>15000</v>
      </c>
    </row>
    <row r="8" spans="1:7" x14ac:dyDescent="0.25">
      <c r="B8" s="57" t="s">
        <v>114</v>
      </c>
      <c r="C8" s="56">
        <f>SUM(C3:C7)</f>
        <v>129000</v>
      </c>
      <c r="D8" s="56">
        <f t="shared" ref="D8:E8" si="2">SUM(D3:D7)</f>
        <v>129000</v>
      </c>
      <c r="E8" s="56">
        <f t="shared" si="2"/>
        <v>178000</v>
      </c>
      <c r="F8" s="56"/>
    </row>
    <row r="9" spans="1:7" x14ac:dyDescent="0.25">
      <c r="B9" s="57" t="s">
        <v>115</v>
      </c>
      <c r="C9" s="56">
        <v>83000</v>
      </c>
      <c r="D9" s="56">
        <v>84000</v>
      </c>
      <c r="E9" s="56">
        <v>43000</v>
      </c>
    </row>
    <row r="10" spans="1:7" x14ac:dyDescent="0.25">
      <c r="B10" s="57" t="s">
        <v>116</v>
      </c>
      <c r="C10" s="56">
        <f>C8-C9</f>
        <v>46000</v>
      </c>
      <c r="D10" s="56">
        <f t="shared" ref="D10:E10" si="3">D8-D9</f>
        <v>45000</v>
      </c>
      <c r="E10" s="56">
        <f t="shared" si="3"/>
        <v>135000</v>
      </c>
    </row>
    <row r="11" spans="1:7" x14ac:dyDescent="0.25">
      <c r="B11" s="57" t="s">
        <v>117</v>
      </c>
      <c r="C11">
        <f>PRODUCT(C10*0.1)</f>
        <v>4600</v>
      </c>
      <c r="D11">
        <f>PRODUCT(D10*0.1)</f>
        <v>4500</v>
      </c>
      <c r="E11">
        <f>PRODUCT(E10*0.1)</f>
        <v>13500</v>
      </c>
    </row>
    <row r="13" spans="1:7" ht="75" x14ac:dyDescent="0.25">
      <c r="B13" s="58" t="s">
        <v>118</v>
      </c>
      <c r="C13" s="56">
        <f>SUMIF(C3:C7,"&gt;30000",C3:C7)</f>
        <v>77000</v>
      </c>
      <c r="D13" s="56">
        <f t="shared" ref="D13:E13" si="4">SUMIF(D3:D7,"&gt;30000",D3:D7)</f>
        <v>39000</v>
      </c>
      <c r="E13" s="56">
        <f t="shared" si="4"/>
        <v>146000</v>
      </c>
    </row>
    <row r="14" spans="1:7" ht="60" x14ac:dyDescent="0.25">
      <c r="B14" s="58" t="s">
        <v>119</v>
      </c>
      <c r="C14">
        <f>COUNTIF(C3:C7,"&gt;30000")</f>
        <v>2</v>
      </c>
      <c r="D14">
        <f t="shared" ref="D14:E14" si="5">COUNTIF(D3:D7,"&gt;30000")</f>
        <v>1</v>
      </c>
      <c r="E14">
        <f t="shared" si="5"/>
        <v>3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Payroll</vt:lpstr>
      <vt:lpstr>Call Statistics</vt:lpstr>
      <vt:lpstr>Panda EST</vt:lpstr>
      <vt:lpstr>Task 4</vt:lpstr>
      <vt:lpstr>Task 5</vt:lpstr>
      <vt:lpstr>Task 6</vt:lpstr>
      <vt:lpstr>Task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PC</cp:lastModifiedBy>
  <dcterms:created xsi:type="dcterms:W3CDTF">2023-11-01T07:18:42Z</dcterms:created>
  <dcterms:modified xsi:type="dcterms:W3CDTF">2023-11-18T10:44:31Z</dcterms:modified>
</cp:coreProperties>
</file>