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0490" windowHeight="8640" tabRatio="230" firstSheet="5" activeTab="6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  <sheet name="task 6" sheetId="7" r:id="rId6"/>
    <sheet name="task 7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8" l="1"/>
  <c r="D11" i="8"/>
  <c r="C11" i="8"/>
  <c r="D10" i="8"/>
  <c r="E10" i="8"/>
  <c r="C10" i="8"/>
  <c r="D8" i="8"/>
  <c r="E8" i="8"/>
  <c r="C8" i="8"/>
  <c r="G4" i="8"/>
  <c r="G5" i="8"/>
  <c r="G6" i="8"/>
  <c r="G7" i="8"/>
  <c r="G3" i="8"/>
  <c r="F4" i="8"/>
  <c r="F5" i="8"/>
  <c r="F6" i="8"/>
  <c r="F7" i="8"/>
  <c r="F3" i="8"/>
  <c r="B13" i="5" l="1"/>
  <c r="C13" i="5"/>
  <c r="D13" i="5"/>
  <c r="E13" i="5"/>
  <c r="F13" i="5"/>
  <c r="B14" i="5"/>
  <c r="C14" i="5"/>
  <c r="D14" i="5"/>
  <c r="E14" i="5"/>
  <c r="F14" i="5"/>
  <c r="B15" i="5"/>
  <c r="C15" i="5"/>
  <c r="D15" i="5"/>
  <c r="E15" i="5"/>
  <c r="F15" i="5"/>
  <c r="B16" i="5"/>
  <c r="C16" i="5"/>
  <c r="D16" i="5"/>
  <c r="E16" i="5"/>
  <c r="F16" i="5"/>
  <c r="C14" i="4"/>
  <c r="C13" i="4"/>
  <c r="C12" i="4"/>
  <c r="C11" i="4"/>
  <c r="G3" i="4"/>
  <c r="G4" i="4"/>
  <c r="G5" i="4"/>
  <c r="G6" i="4"/>
  <c r="G7" i="4"/>
  <c r="G8" i="4"/>
  <c r="G9" i="4"/>
  <c r="G2" i="4"/>
  <c r="F3" i="4"/>
  <c r="F4" i="4"/>
  <c r="F5" i="4"/>
  <c r="F6" i="4"/>
  <c r="F7" i="4"/>
  <c r="F8" i="4"/>
  <c r="F9" i="4"/>
  <c r="F2" i="4"/>
  <c r="E3" i="4"/>
  <c r="E4" i="4"/>
  <c r="E5" i="4"/>
  <c r="E6" i="4"/>
  <c r="E7" i="4"/>
  <c r="E8" i="4"/>
  <c r="E9" i="4"/>
  <c r="E2" i="4"/>
  <c r="D3" i="4"/>
  <c r="D4" i="4"/>
  <c r="D5" i="4"/>
  <c r="D6" i="4"/>
  <c r="D7" i="4"/>
  <c r="D8" i="4"/>
  <c r="D9" i="4"/>
  <c r="D2" i="4"/>
  <c r="D16" i="3"/>
  <c r="E16" i="3"/>
  <c r="F16" i="3"/>
  <c r="D15" i="3"/>
  <c r="E15" i="3"/>
  <c r="F15" i="3"/>
  <c r="D14" i="3"/>
  <c r="E14" i="3"/>
  <c r="F14" i="3"/>
  <c r="D13" i="3"/>
  <c r="E13" i="3"/>
  <c r="F13" i="3"/>
  <c r="D12" i="3"/>
  <c r="E12" i="3"/>
  <c r="F12" i="3"/>
  <c r="C16" i="3"/>
  <c r="C15" i="3"/>
  <c r="C14" i="3"/>
  <c r="C13" i="3"/>
  <c r="C12" i="3"/>
  <c r="F6" i="3"/>
  <c r="F7" i="3"/>
  <c r="F8" i="3"/>
  <c r="F9" i="3"/>
  <c r="F10" i="3"/>
  <c r="F5" i="3"/>
  <c r="E6" i="3"/>
  <c r="E7" i="3"/>
  <c r="E8" i="3"/>
  <c r="E9" i="3"/>
  <c r="E10" i="3"/>
  <c r="E5" i="3"/>
  <c r="C10" i="2"/>
  <c r="B10" i="2"/>
  <c r="E8" i="2"/>
  <c r="D5" i="2"/>
  <c r="E5" i="2" s="1"/>
  <c r="D6" i="2"/>
  <c r="E6" i="2" s="1"/>
  <c r="D7" i="2"/>
  <c r="E7" i="2" s="1"/>
  <c r="D8" i="2"/>
  <c r="D4" i="2"/>
  <c r="E4" i="2" s="1"/>
  <c r="E10" i="2" s="1"/>
  <c r="G4" i="1"/>
  <c r="G5" i="1"/>
  <c r="G6" i="1"/>
  <c r="G7" i="1"/>
  <c r="G8" i="1"/>
  <c r="F5" i="1"/>
  <c r="F6" i="1"/>
  <c r="F7" i="1"/>
  <c r="F8" i="1"/>
  <c r="F4" i="1"/>
  <c r="E5" i="1"/>
  <c r="E6" i="1"/>
  <c r="E7" i="1"/>
  <c r="E8" i="1"/>
  <c r="E4" i="1"/>
  <c r="B2" i="1"/>
  <c r="D10" i="2" l="1"/>
</calcChain>
</file>

<file path=xl/sharedStrings.xml><?xml version="1.0" encoding="utf-8"?>
<sst xmlns="http://schemas.openxmlformats.org/spreadsheetml/2006/main" count="146" uniqueCount="124">
  <si>
    <t>E00001</t>
  </si>
  <si>
    <t>E00002</t>
  </si>
  <si>
    <t>E00003</t>
  </si>
  <si>
    <t>E00004</t>
  </si>
  <si>
    <t>E00005</t>
  </si>
  <si>
    <t>payroll</t>
  </si>
  <si>
    <t>date</t>
  </si>
  <si>
    <t>Mino</t>
  </si>
  <si>
    <t>Bell</t>
  </si>
  <si>
    <t>EMPL number</t>
  </si>
  <si>
    <t>EMPL Name</t>
  </si>
  <si>
    <t>Ford</t>
  </si>
  <si>
    <t>Hours Worked</t>
  </si>
  <si>
    <t>S.S Tax</t>
  </si>
  <si>
    <t>Net Pay</t>
  </si>
  <si>
    <t>Devis</t>
  </si>
  <si>
    <t>Turro</t>
  </si>
  <si>
    <t>Hourly  Rate</t>
  </si>
  <si>
    <t xml:space="preserve">Gross Pay </t>
  </si>
  <si>
    <t>London Team Call Statistics</t>
  </si>
  <si>
    <t>Name</t>
  </si>
  <si>
    <t>No. call</t>
  </si>
  <si>
    <t xml:space="preserve">Call Per Hour </t>
  </si>
  <si>
    <t>Bonus</t>
  </si>
  <si>
    <t>Adam</t>
  </si>
  <si>
    <t>Jhon</t>
  </si>
  <si>
    <t>Alex</t>
  </si>
  <si>
    <t>Emma</t>
  </si>
  <si>
    <t>James</t>
  </si>
  <si>
    <t>Bonus Rate</t>
  </si>
  <si>
    <t xml:space="preserve">Total </t>
  </si>
  <si>
    <t>Panda EST</t>
  </si>
  <si>
    <t>Monthly Sales Report- July</t>
  </si>
  <si>
    <t>Emp.No.</t>
  </si>
  <si>
    <t>Salary</t>
  </si>
  <si>
    <t>Sales Amount</t>
  </si>
  <si>
    <t>Comission</t>
  </si>
  <si>
    <t>Total Salary</t>
  </si>
  <si>
    <t>S101</t>
  </si>
  <si>
    <t>S105</t>
  </si>
  <si>
    <t>S112</t>
  </si>
  <si>
    <t>S107</t>
  </si>
  <si>
    <t>S110</t>
  </si>
  <si>
    <t>S103</t>
  </si>
  <si>
    <t>Samir</t>
  </si>
  <si>
    <t>Mohammed</t>
  </si>
  <si>
    <t>Waleed</t>
  </si>
  <si>
    <t>Ali</t>
  </si>
  <si>
    <t>Hassan</t>
  </si>
  <si>
    <t>Ahmed</t>
  </si>
  <si>
    <t>Average</t>
  </si>
  <si>
    <t>Highest</t>
  </si>
  <si>
    <t>Lowest</t>
  </si>
  <si>
    <t>Count</t>
  </si>
  <si>
    <t>Total</t>
  </si>
  <si>
    <t>ITEM NO.</t>
  </si>
  <si>
    <t>NO. OF ITEMS</t>
  </si>
  <si>
    <t>ITEM PIECE</t>
  </si>
  <si>
    <t>TAX</t>
  </si>
  <si>
    <t>TOTAL PRICE BEFORE TAX</t>
  </si>
  <si>
    <t>TOTAL PRICE AFTER TAX</t>
  </si>
  <si>
    <t>RATE</t>
  </si>
  <si>
    <t>Count of items</t>
  </si>
  <si>
    <t>Average of tax</t>
  </si>
  <si>
    <t>Min ITEM PRICE</t>
  </si>
  <si>
    <t>Max ITEM PRICE</t>
  </si>
  <si>
    <t>STUDENT A</t>
  </si>
  <si>
    <t>STUDENT B</t>
  </si>
  <si>
    <t>STUDENT C</t>
  </si>
  <si>
    <t>STUDENT D</t>
  </si>
  <si>
    <t>STUDENT E</t>
  </si>
  <si>
    <t>ASSIGNMENT 1</t>
  </si>
  <si>
    <t>ASSIGNMENT 2</t>
  </si>
  <si>
    <t>ASSIGNMENT 3</t>
  </si>
  <si>
    <t>ASSIGNMENT 4</t>
  </si>
  <si>
    <t>ASSIGNMENT 5</t>
  </si>
  <si>
    <t>ASSIGNMENT 6</t>
  </si>
  <si>
    <t>ASSIGNMENT 7</t>
  </si>
  <si>
    <t>ASSIGNMENT 8</t>
  </si>
  <si>
    <t>ASSIGNMENT 9</t>
  </si>
  <si>
    <t>ASSIGNMENT 10</t>
  </si>
  <si>
    <t>MINIMUM</t>
  </si>
  <si>
    <t>MAXIMUM</t>
  </si>
  <si>
    <t>TOTAL</t>
  </si>
  <si>
    <t>AVERAGE</t>
  </si>
  <si>
    <t>DATE</t>
  </si>
  <si>
    <t>FOOD</t>
  </si>
  <si>
    <t>LAUNDARY</t>
  </si>
  <si>
    <t>MEDICINE</t>
  </si>
  <si>
    <t>OTHERS</t>
  </si>
  <si>
    <t>ASSINGMENT NO.2 (EXPANSE TRACKER)</t>
  </si>
  <si>
    <t>STATIONARY</t>
  </si>
  <si>
    <t>0-jan</t>
  </si>
  <si>
    <t>0-Jan</t>
  </si>
  <si>
    <t>29-Fab</t>
  </si>
  <si>
    <t>kiT</t>
  </si>
  <si>
    <t>Week-4</t>
  </si>
  <si>
    <t>Week-3</t>
  </si>
  <si>
    <t>Week-2</t>
  </si>
  <si>
    <t>Week-1</t>
  </si>
  <si>
    <t>Sale and Profit Report - First Quarter 2012</t>
  </si>
  <si>
    <t>No</t>
  </si>
  <si>
    <t xml:space="preserve">City </t>
  </si>
  <si>
    <t>Jan</t>
  </si>
  <si>
    <t>Feb</t>
  </si>
  <si>
    <t>Mar</t>
  </si>
  <si>
    <t>Maximum</t>
  </si>
  <si>
    <t>C001</t>
  </si>
  <si>
    <t>C002</t>
  </si>
  <si>
    <t>C003</t>
  </si>
  <si>
    <t>C004</t>
  </si>
  <si>
    <t>C005</t>
  </si>
  <si>
    <t>New York</t>
  </si>
  <si>
    <t>Los Angles</t>
  </si>
  <si>
    <t>Lodon</t>
  </si>
  <si>
    <t>Paris</t>
  </si>
  <si>
    <t>Munich</t>
  </si>
  <si>
    <t>Total Sales</t>
  </si>
  <si>
    <t>Cost</t>
  </si>
  <si>
    <t>Profit</t>
  </si>
  <si>
    <t>10% Bonus</t>
  </si>
  <si>
    <t>No Sales greater than 30000</t>
  </si>
  <si>
    <t>Total Sales greater than 30000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</si>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</sst>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6"/>
      <color theme="4" tint="-0.49998474074526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5" fillId="3" borderId="0" applyNumberFormat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0" borderId="7" xfId="0" applyNumberFormat="1" applyBorder="1" applyAlignment="1">
      <alignment horizontal="center" vertical="center"/>
    </xf>
    <xf numFmtId="44" fontId="0" fillId="0" borderId="5" xfId="1" applyFont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4" fontId="0" fillId="0" borderId="13" xfId="0" applyNumberFormat="1" applyBorder="1" applyAlignment="1">
      <alignment horizontal="center" vertical="center"/>
    </xf>
    <xf numFmtId="44" fontId="0" fillId="0" borderId="14" xfId="1" applyFont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left" vertical="center" wrapText="1"/>
    </xf>
    <xf numFmtId="0" fontId="4" fillId="7" borderId="18" xfId="0" applyFont="1" applyFill="1" applyBorder="1" applyAlignment="1">
      <alignment horizontal="center" vertical="center"/>
    </xf>
    <xf numFmtId="0" fontId="0" fillId="4" borderId="19" xfId="0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4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4" fontId="0" fillId="0" borderId="10" xfId="1" applyFont="1" applyBorder="1" applyAlignment="1">
      <alignment horizontal="center"/>
    </xf>
    <xf numFmtId="44" fontId="0" fillId="0" borderId="0" xfId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7" xfId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19" xfId="0" applyFont="1" applyBorder="1" applyAlignment="1">
      <alignment horizontal="center"/>
    </xf>
    <xf numFmtId="9" fontId="0" fillId="0" borderId="28" xfId="2" applyFont="1" applyBorder="1" applyAlignment="1">
      <alignment horizontal="center"/>
    </xf>
    <xf numFmtId="0" fontId="4" fillId="0" borderId="1" xfId="0" applyFont="1" applyBorder="1"/>
    <xf numFmtId="0" fontId="0" fillId="0" borderId="4" xfId="0" applyBorder="1"/>
    <xf numFmtId="0" fontId="0" fillId="0" borderId="5" xfId="0" applyBorder="1"/>
    <xf numFmtId="0" fontId="4" fillId="0" borderId="4" xfId="0" applyFont="1" applyBorder="1"/>
    <xf numFmtId="0" fontId="4" fillId="0" borderId="5" xfId="0" applyFont="1" applyBorder="1"/>
    <xf numFmtId="0" fontId="0" fillId="0" borderId="6" xfId="0" applyBorder="1"/>
    <xf numFmtId="0" fontId="4" fillId="0" borderId="7" xfId="0" applyFont="1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>
      <alignment horizontal="left" vertical="center"/>
    </xf>
    <xf numFmtId="0" fontId="4" fillId="0" borderId="25" xfId="0" applyFont="1" applyBorder="1" applyAlignment="1">
      <alignment horizontal="left" vertical="top" textRotation="48" shrinkToFi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0" fillId="5" borderId="1" xfId="0" applyFill="1" applyBorder="1"/>
    <xf numFmtId="0" fontId="0" fillId="13" borderId="1" xfId="0" applyFill="1" applyBorder="1"/>
    <xf numFmtId="0" fontId="0" fillId="9" borderId="1" xfId="0" applyFill="1" applyBorder="1"/>
    <xf numFmtId="0" fontId="0" fillId="11" borderId="1" xfId="0" applyFill="1" applyBorder="1"/>
    <xf numFmtId="0" fontId="5" fillId="3" borderId="1" xfId="4" applyBorder="1"/>
    <xf numFmtId="0" fontId="3" fillId="11" borderId="1" xfId="0" applyFont="1" applyFill="1" applyBorder="1"/>
    <xf numFmtId="0" fontId="3" fillId="10" borderId="1" xfId="0" applyFont="1" applyFill="1" applyBorder="1"/>
    <xf numFmtId="0" fontId="4" fillId="6" borderId="1" xfId="0" applyFont="1" applyFill="1" applyBorder="1"/>
    <xf numFmtId="0" fontId="6" fillId="4" borderId="9" xfId="3" applyFont="1" applyFill="1" applyBorder="1" applyAlignment="1">
      <alignment horizontal="center" vertical="center"/>
    </xf>
    <xf numFmtId="0" fontId="2" fillId="4" borderId="10" xfId="3" applyFill="1" applyBorder="1" applyAlignment="1">
      <alignment horizontal="center" vertical="center"/>
    </xf>
    <xf numFmtId="0" fontId="2" fillId="4" borderId="11" xfId="3" applyFill="1" applyBorder="1" applyAlignment="1">
      <alignment horizontal="center" vertical="center"/>
    </xf>
    <xf numFmtId="14" fontId="0" fillId="0" borderId="20" xfId="0" applyNumberFormat="1" applyBorder="1" applyAlignment="1">
      <alignment horizontal="left" indent="5"/>
    </xf>
    <xf numFmtId="0" fontId="0" fillId="0" borderId="21" xfId="0" applyBorder="1" applyAlignment="1">
      <alignment horizontal="left" indent="5"/>
    </xf>
    <xf numFmtId="0" fontId="0" fillId="0" borderId="22" xfId="0" applyBorder="1" applyAlignment="1">
      <alignment horizontal="left" indent="5"/>
    </xf>
    <xf numFmtId="0" fontId="7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8" borderId="15" xfId="0" applyFont="1" applyFill="1" applyBorder="1" applyAlignment="1">
      <alignment horizontal="center"/>
    </xf>
    <xf numFmtId="0" fontId="4" fillId="8" borderId="29" xfId="0" applyFont="1" applyFill="1" applyBorder="1" applyAlignment="1">
      <alignment horizontal="center"/>
    </xf>
    <xf numFmtId="0" fontId="4" fillId="8" borderId="30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" fontId="0" fillId="0" borderId="0" xfId="0" applyNumberFormat="1"/>
    <xf numFmtId="0" fontId="0" fillId="0" borderId="0" xfId="0" applyNumberFormat="1"/>
    <xf numFmtId="0" fontId="4" fillId="0" borderId="0" xfId="0" applyFont="1"/>
    <xf numFmtId="1" fontId="0" fillId="0" borderId="0" xfId="0" applyNumberFormat="1"/>
    <xf numFmtId="0" fontId="9" fillId="0" borderId="0" xfId="0" applyFont="1" applyAlignment="1">
      <alignment horizontal="center"/>
    </xf>
    <xf numFmtId="16" fontId="2" fillId="2" borderId="0" xfId="3" applyNumberFormat="1"/>
    <xf numFmtId="0" fontId="2" fillId="2" borderId="0" xfId="3"/>
    <xf numFmtId="16" fontId="2" fillId="2" borderId="0" xfId="3" applyNumberFormat="1" applyAlignment="1">
      <alignment horizontal="right"/>
    </xf>
    <xf numFmtId="0" fontId="2" fillId="2" borderId="0" xfId="3" applyAlignment="1">
      <alignment horizontal="right"/>
    </xf>
    <xf numFmtId="0" fontId="2" fillId="2" borderId="0" xfId="3" applyNumberFormat="1"/>
    <xf numFmtId="0" fontId="10" fillId="0" borderId="0" xfId="0" applyFont="1" applyAlignment="1">
      <alignment horizontal="center" vertical="center"/>
    </xf>
    <xf numFmtId="44" fontId="0" fillId="0" borderId="0" xfId="0" applyNumberFormat="1"/>
    <xf numFmtId="0" fontId="0" fillId="0" borderId="0" xfId="0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right"/>
    </xf>
  </cellXfs>
  <cellStyles count="5">
    <cellStyle name="Accent2" xfId="4" builtinId="33"/>
    <cellStyle name="Currency" xfId="1" builtinId="4"/>
    <cellStyle name="Good" xfId="3" builtinId="26"/>
    <cellStyle name="Normal" xfId="0" builtinId="0"/>
    <cellStyle name="Percent" xfId="2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174978127734036E-2"/>
          <c:y val="0.17171296296296296"/>
          <c:w val="0.63282502187226597"/>
          <c:h val="0.431234689413823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'task 5'!$B$1</c:f>
              <c:strCache>
                <c:ptCount val="1"/>
                <c:pt idx="0">
                  <c:v>STUDENT 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5'!$A$2:$A$11</c:f>
              <c:strCache>
                <c:ptCount val="10"/>
                <c:pt idx="0">
                  <c:v>ASSIGNMENT 1</c:v>
                </c:pt>
                <c:pt idx="1">
                  <c:v>ASSIGNMENT 2</c:v>
                </c:pt>
                <c:pt idx="2">
                  <c:v>ASSIGNMENT 3</c:v>
                </c:pt>
                <c:pt idx="3">
                  <c:v>ASSIGNMENT 4</c:v>
                </c:pt>
                <c:pt idx="4">
                  <c:v>ASSIGNMENT 5</c:v>
                </c:pt>
                <c:pt idx="5">
                  <c:v>ASSIGNMENT 6</c:v>
                </c:pt>
                <c:pt idx="6">
                  <c:v>ASSIGNMENT 7</c:v>
                </c:pt>
                <c:pt idx="7">
                  <c:v>ASSIGNMENT 8</c:v>
                </c:pt>
                <c:pt idx="8">
                  <c:v>ASSIGNMENT 9</c:v>
                </c:pt>
                <c:pt idx="9">
                  <c:v>ASSIGNMENT 10</c:v>
                </c:pt>
              </c:strCache>
            </c:strRef>
          </c:cat>
          <c:val>
            <c:numRef>
              <c:f>'task 5'!$B$2:$B$11</c:f>
              <c:numCache>
                <c:formatCode>General</c:formatCode>
                <c:ptCount val="10"/>
                <c:pt idx="0">
                  <c:v>65</c:v>
                </c:pt>
                <c:pt idx="1">
                  <c:v>78</c:v>
                </c:pt>
                <c:pt idx="2">
                  <c:v>95</c:v>
                </c:pt>
                <c:pt idx="3">
                  <c:v>89</c:v>
                </c:pt>
                <c:pt idx="4">
                  <c:v>56</c:v>
                </c:pt>
                <c:pt idx="5">
                  <c:v>67</c:v>
                </c:pt>
                <c:pt idx="6">
                  <c:v>72</c:v>
                </c:pt>
                <c:pt idx="7">
                  <c:v>0</c:v>
                </c:pt>
                <c:pt idx="8">
                  <c:v>56</c:v>
                </c:pt>
                <c:pt idx="9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7-4980-B866-6EF66BC1D9AA}"/>
            </c:ext>
          </c:extLst>
        </c:ser>
        <c:ser>
          <c:idx val="1"/>
          <c:order val="1"/>
          <c:tx>
            <c:strRef>
              <c:f>'task 5'!$C$1</c:f>
              <c:strCache>
                <c:ptCount val="1"/>
                <c:pt idx="0">
                  <c:v>STUDENT 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5'!$A$2:$A$11</c:f>
              <c:strCache>
                <c:ptCount val="10"/>
                <c:pt idx="0">
                  <c:v>ASSIGNMENT 1</c:v>
                </c:pt>
                <c:pt idx="1">
                  <c:v>ASSIGNMENT 2</c:v>
                </c:pt>
                <c:pt idx="2">
                  <c:v>ASSIGNMENT 3</c:v>
                </c:pt>
                <c:pt idx="3">
                  <c:v>ASSIGNMENT 4</c:v>
                </c:pt>
                <c:pt idx="4">
                  <c:v>ASSIGNMENT 5</c:v>
                </c:pt>
                <c:pt idx="5">
                  <c:v>ASSIGNMENT 6</c:v>
                </c:pt>
                <c:pt idx="6">
                  <c:v>ASSIGNMENT 7</c:v>
                </c:pt>
                <c:pt idx="7">
                  <c:v>ASSIGNMENT 8</c:v>
                </c:pt>
                <c:pt idx="8">
                  <c:v>ASSIGNMENT 9</c:v>
                </c:pt>
                <c:pt idx="9">
                  <c:v>ASSIGNMENT 10</c:v>
                </c:pt>
              </c:strCache>
            </c:strRef>
          </c:cat>
          <c:val>
            <c:numRef>
              <c:f>'task 5'!$C$2:$C$11</c:f>
              <c:numCache>
                <c:formatCode>General</c:formatCode>
                <c:ptCount val="10"/>
                <c:pt idx="0">
                  <c:v>70</c:v>
                </c:pt>
                <c:pt idx="1">
                  <c:v>78</c:v>
                </c:pt>
                <c:pt idx="2">
                  <c:v>89</c:v>
                </c:pt>
                <c:pt idx="3">
                  <c:v>89</c:v>
                </c:pt>
                <c:pt idx="4">
                  <c:v>77</c:v>
                </c:pt>
                <c:pt idx="5">
                  <c:v>75</c:v>
                </c:pt>
                <c:pt idx="6">
                  <c:v>71</c:v>
                </c:pt>
                <c:pt idx="7">
                  <c:v>81</c:v>
                </c:pt>
                <c:pt idx="8">
                  <c:v>89</c:v>
                </c:pt>
                <c:pt idx="9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37-4980-B866-6EF66BC1D9AA}"/>
            </c:ext>
          </c:extLst>
        </c:ser>
        <c:ser>
          <c:idx val="2"/>
          <c:order val="2"/>
          <c:tx>
            <c:strRef>
              <c:f>'task 5'!$D$1</c:f>
              <c:strCache>
                <c:ptCount val="1"/>
                <c:pt idx="0">
                  <c:v>STUDENT 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5'!$A$2:$A$11</c:f>
              <c:strCache>
                <c:ptCount val="10"/>
                <c:pt idx="0">
                  <c:v>ASSIGNMENT 1</c:v>
                </c:pt>
                <c:pt idx="1">
                  <c:v>ASSIGNMENT 2</c:v>
                </c:pt>
                <c:pt idx="2">
                  <c:v>ASSIGNMENT 3</c:v>
                </c:pt>
                <c:pt idx="3">
                  <c:v>ASSIGNMENT 4</c:v>
                </c:pt>
                <c:pt idx="4">
                  <c:v>ASSIGNMENT 5</c:v>
                </c:pt>
                <c:pt idx="5">
                  <c:v>ASSIGNMENT 6</c:v>
                </c:pt>
                <c:pt idx="6">
                  <c:v>ASSIGNMENT 7</c:v>
                </c:pt>
                <c:pt idx="7">
                  <c:v>ASSIGNMENT 8</c:v>
                </c:pt>
                <c:pt idx="8">
                  <c:v>ASSIGNMENT 9</c:v>
                </c:pt>
                <c:pt idx="9">
                  <c:v>ASSIGNMENT 10</c:v>
                </c:pt>
              </c:strCache>
            </c:strRef>
          </c:cat>
          <c:val>
            <c:numRef>
              <c:f>'task 5'!$D$2:$D$11</c:f>
              <c:numCache>
                <c:formatCode>General</c:formatCode>
                <c:ptCount val="10"/>
                <c:pt idx="0">
                  <c:v>56</c:v>
                </c:pt>
                <c:pt idx="1">
                  <c:v>67</c:v>
                </c:pt>
                <c:pt idx="2">
                  <c:v>87</c:v>
                </c:pt>
                <c:pt idx="3">
                  <c:v>56</c:v>
                </c:pt>
                <c:pt idx="4">
                  <c:v>64</c:v>
                </c:pt>
                <c:pt idx="5">
                  <c:v>60</c:v>
                </c:pt>
                <c:pt idx="6">
                  <c:v>78</c:v>
                </c:pt>
                <c:pt idx="7">
                  <c:v>88</c:v>
                </c:pt>
                <c:pt idx="8">
                  <c:v>36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37-4980-B866-6EF66BC1D9AA}"/>
            </c:ext>
          </c:extLst>
        </c:ser>
        <c:ser>
          <c:idx val="3"/>
          <c:order val="3"/>
          <c:tx>
            <c:strRef>
              <c:f>'task 5'!$E$1</c:f>
              <c:strCache>
                <c:ptCount val="1"/>
                <c:pt idx="0">
                  <c:v>STUDENT 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5'!$A$2:$A$11</c:f>
              <c:strCache>
                <c:ptCount val="10"/>
                <c:pt idx="0">
                  <c:v>ASSIGNMENT 1</c:v>
                </c:pt>
                <c:pt idx="1">
                  <c:v>ASSIGNMENT 2</c:v>
                </c:pt>
                <c:pt idx="2">
                  <c:v>ASSIGNMENT 3</c:v>
                </c:pt>
                <c:pt idx="3">
                  <c:v>ASSIGNMENT 4</c:v>
                </c:pt>
                <c:pt idx="4">
                  <c:v>ASSIGNMENT 5</c:v>
                </c:pt>
                <c:pt idx="5">
                  <c:v>ASSIGNMENT 6</c:v>
                </c:pt>
                <c:pt idx="6">
                  <c:v>ASSIGNMENT 7</c:v>
                </c:pt>
                <c:pt idx="7">
                  <c:v>ASSIGNMENT 8</c:v>
                </c:pt>
                <c:pt idx="8">
                  <c:v>ASSIGNMENT 9</c:v>
                </c:pt>
                <c:pt idx="9">
                  <c:v>ASSIGNMENT 10</c:v>
                </c:pt>
              </c:strCache>
            </c:strRef>
          </c:cat>
          <c:val>
            <c:numRef>
              <c:f>'task 5'!$E$2:$E$11</c:f>
              <c:numCache>
                <c:formatCode>General</c:formatCode>
                <c:ptCount val="10"/>
                <c:pt idx="0">
                  <c:v>95</c:v>
                </c:pt>
                <c:pt idx="1">
                  <c:v>93</c:v>
                </c:pt>
                <c:pt idx="2">
                  <c:v>88</c:v>
                </c:pt>
                <c:pt idx="3">
                  <c:v>83</c:v>
                </c:pt>
                <c:pt idx="4">
                  <c:v>75</c:v>
                </c:pt>
                <c:pt idx="5">
                  <c:v>57</c:v>
                </c:pt>
                <c:pt idx="6">
                  <c:v>85</c:v>
                </c:pt>
                <c:pt idx="7">
                  <c:v>78</c:v>
                </c:pt>
                <c:pt idx="8">
                  <c:v>0</c:v>
                </c:pt>
                <c:pt idx="9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37-4980-B866-6EF66BC1D9AA}"/>
            </c:ext>
          </c:extLst>
        </c:ser>
        <c:ser>
          <c:idx val="4"/>
          <c:order val="4"/>
          <c:tx>
            <c:strRef>
              <c:f>'task 5'!$F$1</c:f>
              <c:strCache>
                <c:ptCount val="1"/>
                <c:pt idx="0">
                  <c:v>STUDENT 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5'!$A$2:$A$11</c:f>
              <c:strCache>
                <c:ptCount val="10"/>
                <c:pt idx="0">
                  <c:v>ASSIGNMENT 1</c:v>
                </c:pt>
                <c:pt idx="1">
                  <c:v>ASSIGNMENT 2</c:v>
                </c:pt>
                <c:pt idx="2">
                  <c:v>ASSIGNMENT 3</c:v>
                </c:pt>
                <c:pt idx="3">
                  <c:v>ASSIGNMENT 4</c:v>
                </c:pt>
                <c:pt idx="4">
                  <c:v>ASSIGNMENT 5</c:v>
                </c:pt>
                <c:pt idx="5">
                  <c:v>ASSIGNMENT 6</c:v>
                </c:pt>
                <c:pt idx="6">
                  <c:v>ASSIGNMENT 7</c:v>
                </c:pt>
                <c:pt idx="7">
                  <c:v>ASSIGNMENT 8</c:v>
                </c:pt>
                <c:pt idx="8">
                  <c:v>ASSIGNMENT 9</c:v>
                </c:pt>
                <c:pt idx="9">
                  <c:v>ASSIGNMENT 10</c:v>
                </c:pt>
              </c:strCache>
            </c:strRef>
          </c:cat>
          <c:val>
            <c:numRef>
              <c:f>'task 5'!$F$2:$F$11</c:f>
              <c:numCache>
                <c:formatCode>General</c:formatCode>
                <c:ptCount val="10"/>
                <c:pt idx="0">
                  <c:v>67</c:v>
                </c:pt>
                <c:pt idx="1">
                  <c:v>75</c:v>
                </c:pt>
                <c:pt idx="2">
                  <c:v>75</c:v>
                </c:pt>
                <c:pt idx="3">
                  <c:v>88</c:v>
                </c:pt>
                <c:pt idx="4">
                  <c:v>56</c:v>
                </c:pt>
                <c:pt idx="5">
                  <c:v>45</c:v>
                </c:pt>
                <c:pt idx="6">
                  <c:v>46</c:v>
                </c:pt>
                <c:pt idx="7">
                  <c:v>52</c:v>
                </c:pt>
                <c:pt idx="8">
                  <c:v>63</c:v>
                </c:pt>
                <c:pt idx="9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37-4980-B866-6EF66BC1D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3193615"/>
        <c:axId val="1453199855"/>
      </c:barChart>
      <c:catAx>
        <c:axId val="145319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199855"/>
        <c:crosses val="autoZero"/>
        <c:auto val="1"/>
        <c:lblAlgn val="ctr"/>
        <c:lblOffset val="100"/>
        <c:noMultiLvlLbl val="0"/>
      </c:catAx>
      <c:valAx>
        <c:axId val="145319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19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114700964870508"/>
          <c:y val="0.16703023796533287"/>
          <c:w val="0.17995964917196738"/>
          <c:h val="0.43073942271995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229428</xdr:colOff>
      <xdr:row>17</xdr:row>
      <xdr:rowOff>93001</xdr:rowOff>
    </xdr:from>
    <xdr:to>
      <xdr:col>7</xdr:col>
      <xdr:colOff>463826</xdr:colOff>
      <xdr:row>33</xdr:row>
      <xdr:rowOff>107674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K4" sqref="K4"/>
    </sheetView>
  </sheetViews>
  <sheetFormatPr defaultRowHeight="15" x14ac:dyDescent="0.25"/>
  <cols>
    <col min="1" max="7" width="10.7109375" customWidth="1"/>
  </cols>
  <sheetData>
    <row r="1" spans="1:7" ht="39.6" customHeight="1" thickBot="1" x14ac:dyDescent="0.3">
      <c r="A1" s="68" t="s">
        <v>5</v>
      </c>
      <c r="B1" s="69"/>
      <c r="C1" s="69"/>
      <c r="D1" s="69"/>
      <c r="E1" s="69"/>
      <c r="F1" s="69"/>
      <c r="G1" s="70"/>
    </row>
    <row r="2" spans="1:7" ht="18" customHeight="1" thickBot="1" x14ac:dyDescent="0.3">
      <c r="A2" s="20" t="s">
        <v>6</v>
      </c>
      <c r="B2" s="71">
        <f ca="1">TODAY()</f>
        <v>45237</v>
      </c>
      <c r="C2" s="72"/>
      <c r="D2" s="72"/>
      <c r="E2" s="72"/>
      <c r="F2" s="72"/>
      <c r="G2" s="73"/>
    </row>
    <row r="3" spans="1:7" ht="28.15" customHeight="1" thickBot="1" x14ac:dyDescent="0.3">
      <c r="A3" s="15" t="s">
        <v>9</v>
      </c>
      <c r="B3" s="16" t="s">
        <v>10</v>
      </c>
      <c r="C3" s="17" t="s">
        <v>17</v>
      </c>
      <c r="D3" s="18" t="s">
        <v>12</v>
      </c>
      <c r="E3" s="16" t="s">
        <v>18</v>
      </c>
      <c r="F3" s="16" t="s">
        <v>13</v>
      </c>
      <c r="G3" s="19" t="s">
        <v>14</v>
      </c>
    </row>
    <row r="4" spans="1:7" ht="18" customHeight="1" x14ac:dyDescent="0.25">
      <c r="A4" s="11" t="s">
        <v>0</v>
      </c>
      <c r="B4" s="12" t="s">
        <v>11</v>
      </c>
      <c r="C4" s="12">
        <v>7.5</v>
      </c>
      <c r="D4" s="12">
        <v>35</v>
      </c>
      <c r="E4" s="13">
        <f>PRODUCT(C4,D4)</f>
        <v>262.5</v>
      </c>
      <c r="F4" s="12">
        <f>PRODUCT(E4,0.06)</f>
        <v>15.75</v>
      </c>
      <c r="G4" s="14">
        <f>E4-F4</f>
        <v>246.75</v>
      </c>
    </row>
    <row r="5" spans="1:7" ht="18" customHeight="1" x14ac:dyDescent="0.25">
      <c r="A5" s="5" t="s">
        <v>1</v>
      </c>
      <c r="B5" s="3" t="s">
        <v>7</v>
      </c>
      <c r="C5" s="3">
        <v>8</v>
      </c>
      <c r="D5" s="3">
        <v>30</v>
      </c>
      <c r="E5" s="4">
        <f t="shared" ref="E5:E8" si="0">PRODUCT(C5,D5)</f>
        <v>240</v>
      </c>
      <c r="F5" s="3">
        <f t="shared" ref="F5:F8" si="1">PRODUCT(E5,0.06)</f>
        <v>14.399999999999999</v>
      </c>
      <c r="G5" s="9">
        <f t="shared" ref="G5:G8" si="2">E5-F5</f>
        <v>225.6</v>
      </c>
    </row>
    <row r="6" spans="1:7" ht="18" customHeight="1" x14ac:dyDescent="0.25">
      <c r="A6" s="5" t="s">
        <v>2</v>
      </c>
      <c r="B6" s="3" t="s">
        <v>8</v>
      </c>
      <c r="C6" s="3">
        <v>6.5</v>
      </c>
      <c r="D6" s="3">
        <v>25</v>
      </c>
      <c r="E6" s="4">
        <f t="shared" si="0"/>
        <v>162.5</v>
      </c>
      <c r="F6" s="3">
        <f t="shared" si="1"/>
        <v>9.75</v>
      </c>
      <c r="G6" s="9">
        <f t="shared" si="2"/>
        <v>152.75</v>
      </c>
    </row>
    <row r="7" spans="1:7" ht="18" customHeight="1" x14ac:dyDescent="0.25">
      <c r="A7" s="5" t="s">
        <v>3</v>
      </c>
      <c r="B7" s="3" t="s">
        <v>15</v>
      </c>
      <c r="C7" s="3">
        <v>9</v>
      </c>
      <c r="D7" s="3">
        <v>39</v>
      </c>
      <c r="E7" s="4">
        <f t="shared" si="0"/>
        <v>351</v>
      </c>
      <c r="F7" s="3">
        <f t="shared" si="1"/>
        <v>21.06</v>
      </c>
      <c r="G7" s="9">
        <f t="shared" si="2"/>
        <v>329.94</v>
      </c>
    </row>
    <row r="8" spans="1:7" ht="18" customHeight="1" thickBot="1" x14ac:dyDescent="0.3">
      <c r="A8" s="6" t="s">
        <v>4</v>
      </c>
      <c r="B8" s="7" t="s">
        <v>16</v>
      </c>
      <c r="C8" s="7">
        <v>10</v>
      </c>
      <c r="D8" s="7">
        <v>40</v>
      </c>
      <c r="E8" s="8">
        <f t="shared" si="0"/>
        <v>400</v>
      </c>
      <c r="F8" s="7">
        <f t="shared" si="1"/>
        <v>24</v>
      </c>
      <c r="G8" s="10">
        <f t="shared" si="2"/>
        <v>376</v>
      </c>
    </row>
  </sheetData>
  <mergeCells count="2">
    <mergeCell ref="A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="115" zoomScaleNormal="115" workbookViewId="0">
      <selection activeCell="B18" sqref="B18"/>
    </sheetView>
  </sheetViews>
  <sheetFormatPr defaultRowHeight="15" x14ac:dyDescent="0.25"/>
  <cols>
    <col min="1" max="5" width="10.7109375" customWidth="1"/>
  </cols>
  <sheetData>
    <row r="1" spans="1:6" ht="30" customHeight="1" x14ac:dyDescent="0.3">
      <c r="A1" s="74" t="s">
        <v>19</v>
      </c>
      <c r="B1" s="75"/>
      <c r="C1" s="75"/>
      <c r="D1" s="75"/>
      <c r="E1" s="76"/>
    </row>
    <row r="2" spans="1:6" ht="30" customHeight="1" x14ac:dyDescent="0.25">
      <c r="A2" s="23"/>
      <c r="B2" s="24"/>
      <c r="C2" s="24"/>
      <c r="D2" s="24"/>
      <c r="E2" s="25"/>
    </row>
    <row r="3" spans="1:6" ht="30" customHeight="1" thickBot="1" x14ac:dyDescent="0.3">
      <c r="A3" s="26" t="s">
        <v>20</v>
      </c>
      <c r="B3" s="27" t="s">
        <v>21</v>
      </c>
      <c r="C3" s="28" t="s">
        <v>12</v>
      </c>
      <c r="D3" s="29" t="s">
        <v>22</v>
      </c>
      <c r="E3" s="56" t="s">
        <v>23</v>
      </c>
      <c r="F3" s="55"/>
    </row>
    <row r="4" spans="1:6" ht="19.899999999999999" customHeight="1" x14ac:dyDescent="0.25">
      <c r="A4" s="23" t="s">
        <v>24</v>
      </c>
      <c r="B4" s="21">
        <v>42</v>
      </c>
      <c r="C4" s="22">
        <v>5</v>
      </c>
      <c r="D4" s="32">
        <f>B4/C4</f>
        <v>8.4</v>
      </c>
      <c r="E4" s="25">
        <f>PRODUCT(D4,B$12)</f>
        <v>2.1</v>
      </c>
    </row>
    <row r="5" spans="1:6" ht="19.899999999999999" customHeight="1" x14ac:dyDescent="0.25">
      <c r="A5" s="23" t="s">
        <v>25</v>
      </c>
      <c r="B5" s="23">
        <v>6</v>
      </c>
      <c r="C5" s="24">
        <v>4</v>
      </c>
      <c r="D5" s="33">
        <f t="shared" ref="D5:D8" si="0">B5/C5</f>
        <v>1.5</v>
      </c>
      <c r="E5" s="25">
        <f t="shared" ref="E5:E8" si="1">PRODUCT(D5,B$12)</f>
        <v>0.375</v>
      </c>
    </row>
    <row r="6" spans="1:6" ht="19.899999999999999" customHeight="1" x14ac:dyDescent="0.25">
      <c r="A6" s="23" t="s">
        <v>28</v>
      </c>
      <c r="B6" s="38">
        <v>39</v>
      </c>
      <c r="C6" s="2">
        <v>6</v>
      </c>
      <c r="D6" s="37">
        <f t="shared" si="0"/>
        <v>6.5</v>
      </c>
      <c r="E6" s="39">
        <f t="shared" si="1"/>
        <v>1.625</v>
      </c>
    </row>
    <row r="7" spans="1:6" ht="19.899999999999999" customHeight="1" x14ac:dyDescent="0.25">
      <c r="A7" s="23" t="s">
        <v>26</v>
      </c>
      <c r="B7" s="38">
        <v>15</v>
      </c>
      <c r="C7" s="2">
        <v>6</v>
      </c>
      <c r="D7" s="37">
        <f t="shared" si="0"/>
        <v>2.5</v>
      </c>
      <c r="E7" s="39">
        <f t="shared" si="1"/>
        <v>0.625</v>
      </c>
    </row>
    <row r="8" spans="1:6" ht="19.899999999999999" customHeight="1" thickBot="1" x14ac:dyDescent="0.3">
      <c r="A8" s="23" t="s">
        <v>27</v>
      </c>
      <c r="B8" s="40">
        <v>2</v>
      </c>
      <c r="C8" s="41">
        <v>7</v>
      </c>
      <c r="D8" s="42">
        <f t="shared" si="0"/>
        <v>0.2857142857142857</v>
      </c>
      <c r="E8" s="43">
        <f t="shared" si="1"/>
        <v>7.1428571428571425E-2</v>
      </c>
    </row>
    <row r="9" spans="1:6" ht="19.899999999999999" customHeight="1" thickBot="1" x14ac:dyDescent="0.3">
      <c r="A9" s="23"/>
      <c r="B9" s="24"/>
      <c r="C9" s="24"/>
      <c r="D9" s="24"/>
      <c r="E9" s="25"/>
    </row>
    <row r="10" spans="1:6" ht="19.899999999999999" customHeight="1" thickBot="1" x14ac:dyDescent="0.3">
      <c r="A10" s="34" t="s">
        <v>30</v>
      </c>
      <c r="B10" s="35">
        <f>SUM(B4:B8)</f>
        <v>104</v>
      </c>
      <c r="C10" s="35">
        <f t="shared" ref="C10:E10" si="2">SUM(C4:C8)</f>
        <v>28</v>
      </c>
      <c r="D10" s="35">
        <f t="shared" si="2"/>
        <v>19.185714285714283</v>
      </c>
      <c r="E10" s="36">
        <f t="shared" si="2"/>
        <v>4.7964285714285708</v>
      </c>
    </row>
    <row r="11" spans="1:6" ht="16.149999999999999" customHeight="1" thickBot="1" x14ac:dyDescent="0.3">
      <c r="A11" s="23"/>
      <c r="B11" s="24"/>
      <c r="C11" s="24"/>
      <c r="D11" s="24"/>
      <c r="E11" s="25"/>
    </row>
    <row r="12" spans="1:6" ht="16.149999999999999" customHeight="1" thickBot="1" x14ac:dyDescent="0.3">
      <c r="A12" s="44" t="s">
        <v>29</v>
      </c>
      <c r="B12" s="45">
        <v>0.25</v>
      </c>
      <c r="C12" s="30"/>
      <c r="D12" s="30"/>
      <c r="E12" s="31"/>
    </row>
  </sheetData>
  <mergeCells count="1">
    <mergeCell ref="A1:E1"/>
  </mergeCells>
  <pageMargins left="0.7" right="0.7" top="0.75" bottom="0.75" header="0.3" footer="0.3"/>
  <pageSetup orientation="portrait" r:id="rId1"/>
  <headerFooter>
    <oddHeader>&amp;LRoshan&amp;R023-23-0170</oddHeader>
    <oddFooter>&amp;C
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zoomScaleNormal="100" workbookViewId="0">
      <selection activeCell="B9" sqref="B9"/>
    </sheetView>
  </sheetViews>
  <sheetFormatPr defaultRowHeight="15" x14ac:dyDescent="0.25"/>
  <cols>
    <col min="1" max="1" width="10.7109375" customWidth="1"/>
    <col min="2" max="6" width="13.7109375" customWidth="1"/>
  </cols>
  <sheetData>
    <row r="1" spans="1:6" ht="18" customHeight="1" x14ac:dyDescent="0.3">
      <c r="A1" s="77" t="s">
        <v>31</v>
      </c>
      <c r="B1" s="78"/>
      <c r="C1" s="78"/>
      <c r="D1" s="78"/>
      <c r="E1" s="78"/>
      <c r="F1" s="79"/>
    </row>
    <row r="2" spans="1:6" ht="18" customHeight="1" x14ac:dyDescent="0.25">
      <c r="A2" s="80" t="s">
        <v>32</v>
      </c>
      <c r="B2" s="81"/>
      <c r="C2" s="81"/>
      <c r="D2" s="81"/>
      <c r="E2" s="81"/>
      <c r="F2" s="82"/>
    </row>
    <row r="3" spans="1:6" ht="18" customHeight="1" x14ac:dyDescent="0.25">
      <c r="A3" s="47"/>
      <c r="B3" s="1"/>
      <c r="C3" s="1"/>
      <c r="D3" s="1"/>
      <c r="E3" s="1"/>
      <c r="F3" s="48"/>
    </row>
    <row r="4" spans="1:6" ht="18" customHeight="1" x14ac:dyDescent="0.25">
      <c r="A4" s="49" t="s">
        <v>33</v>
      </c>
      <c r="B4" s="46" t="s">
        <v>20</v>
      </c>
      <c r="C4" s="46" t="s">
        <v>34</v>
      </c>
      <c r="D4" s="46" t="s">
        <v>35</v>
      </c>
      <c r="E4" s="46" t="s">
        <v>36</v>
      </c>
      <c r="F4" s="50" t="s">
        <v>37</v>
      </c>
    </row>
    <row r="5" spans="1:6" ht="18" customHeight="1" x14ac:dyDescent="0.25">
      <c r="A5" s="47" t="s">
        <v>38</v>
      </c>
      <c r="B5" s="1" t="s">
        <v>49</v>
      </c>
      <c r="C5" s="1">
        <v>1600</v>
      </c>
      <c r="D5" s="1">
        <v>2500</v>
      </c>
      <c r="E5" s="1">
        <f>PRODUCT(C5,2%)</f>
        <v>32</v>
      </c>
      <c r="F5" s="48">
        <f>SUM(E5,C5)</f>
        <v>1632</v>
      </c>
    </row>
    <row r="6" spans="1:6" ht="18" customHeight="1" x14ac:dyDescent="0.25">
      <c r="A6" s="47" t="s">
        <v>39</v>
      </c>
      <c r="B6" s="1" t="s">
        <v>48</v>
      </c>
      <c r="C6" s="1">
        <v>1800</v>
      </c>
      <c r="D6" s="1">
        <v>3000</v>
      </c>
      <c r="E6" s="1">
        <f t="shared" ref="E6:E10" si="0">PRODUCT(C6,2%)</f>
        <v>36</v>
      </c>
      <c r="F6" s="48">
        <f t="shared" ref="F6:F10" si="1">SUM(E6,C6)</f>
        <v>1836</v>
      </c>
    </row>
    <row r="7" spans="1:6" ht="18" customHeight="1" x14ac:dyDescent="0.25">
      <c r="A7" s="47" t="s">
        <v>40</v>
      </c>
      <c r="B7" s="1" t="s">
        <v>47</v>
      </c>
      <c r="C7" s="1">
        <v>1500</v>
      </c>
      <c r="D7" s="1">
        <v>2200</v>
      </c>
      <c r="E7" s="1">
        <f t="shared" si="0"/>
        <v>30</v>
      </c>
      <c r="F7" s="48">
        <f t="shared" si="1"/>
        <v>1530</v>
      </c>
    </row>
    <row r="8" spans="1:6" ht="18" customHeight="1" x14ac:dyDescent="0.25">
      <c r="A8" s="47" t="s">
        <v>41</v>
      </c>
      <c r="B8" s="1" t="s">
        <v>46</v>
      </c>
      <c r="C8" s="1">
        <v>2000</v>
      </c>
      <c r="D8" s="1">
        <v>4500</v>
      </c>
      <c r="E8" s="1">
        <f t="shared" si="0"/>
        <v>40</v>
      </c>
      <c r="F8" s="48">
        <f t="shared" si="1"/>
        <v>2040</v>
      </c>
    </row>
    <row r="9" spans="1:6" ht="18" customHeight="1" x14ac:dyDescent="0.25">
      <c r="A9" s="47" t="s">
        <v>42</v>
      </c>
      <c r="B9" s="1" t="s">
        <v>45</v>
      </c>
      <c r="C9" s="1">
        <v>1700</v>
      </c>
      <c r="D9" s="1">
        <v>3500</v>
      </c>
      <c r="E9" s="1">
        <f t="shared" si="0"/>
        <v>34</v>
      </c>
      <c r="F9" s="48">
        <f t="shared" si="1"/>
        <v>1734</v>
      </c>
    </row>
    <row r="10" spans="1:6" ht="18" customHeight="1" x14ac:dyDescent="0.25">
      <c r="A10" s="47" t="s">
        <v>43</v>
      </c>
      <c r="B10" s="1" t="s">
        <v>44</v>
      </c>
      <c r="C10" s="1">
        <v>1600</v>
      </c>
      <c r="D10" s="1">
        <v>2500</v>
      </c>
      <c r="E10" s="1">
        <f t="shared" si="0"/>
        <v>32</v>
      </c>
      <c r="F10" s="48">
        <f t="shared" si="1"/>
        <v>1632</v>
      </c>
    </row>
    <row r="11" spans="1:6" ht="18" customHeight="1" x14ac:dyDescent="0.25">
      <c r="A11" s="47"/>
      <c r="B11" s="1"/>
      <c r="C11" s="1"/>
      <c r="D11" s="1"/>
      <c r="E11" s="1"/>
      <c r="F11" s="48"/>
    </row>
    <row r="12" spans="1:6" ht="18" customHeight="1" x14ac:dyDescent="0.25">
      <c r="A12" s="47"/>
      <c r="B12" s="46" t="s">
        <v>54</v>
      </c>
      <c r="C12" s="1">
        <f>SUM(C5:C10)</f>
        <v>10200</v>
      </c>
      <c r="D12" s="1">
        <f t="shared" ref="D12:F12" si="2">SUM(D5:D10)</f>
        <v>18200</v>
      </c>
      <c r="E12" s="1">
        <f t="shared" si="2"/>
        <v>204</v>
      </c>
      <c r="F12" s="48">
        <f t="shared" si="2"/>
        <v>10404</v>
      </c>
    </row>
    <row r="13" spans="1:6" ht="18" customHeight="1" x14ac:dyDescent="0.25">
      <c r="A13" s="47"/>
      <c r="B13" s="46" t="s">
        <v>50</v>
      </c>
      <c r="C13" s="1">
        <f>AVERAGE(C5:C10)</f>
        <v>1700</v>
      </c>
      <c r="D13" s="1">
        <f t="shared" ref="D13:F13" si="3">AVERAGE(D5:D10)</f>
        <v>3033.3333333333335</v>
      </c>
      <c r="E13" s="1">
        <f t="shared" si="3"/>
        <v>34</v>
      </c>
      <c r="F13" s="48">
        <f t="shared" si="3"/>
        <v>1734</v>
      </c>
    </row>
    <row r="14" spans="1:6" ht="18" customHeight="1" x14ac:dyDescent="0.25">
      <c r="A14" s="47"/>
      <c r="B14" s="46" t="s">
        <v>51</v>
      </c>
      <c r="C14" s="1">
        <f>MAX(C5:C10)</f>
        <v>2000</v>
      </c>
      <c r="D14" s="1">
        <f t="shared" ref="D14:F14" si="4">MAX(D5:D10)</f>
        <v>4500</v>
      </c>
      <c r="E14" s="1">
        <f t="shared" si="4"/>
        <v>40</v>
      </c>
      <c r="F14" s="48">
        <f t="shared" si="4"/>
        <v>2040</v>
      </c>
    </row>
    <row r="15" spans="1:6" ht="18" customHeight="1" x14ac:dyDescent="0.25">
      <c r="A15" s="47"/>
      <c r="B15" s="46" t="s">
        <v>52</v>
      </c>
      <c r="C15" s="1">
        <f>MIN(C5:C10)</f>
        <v>1500</v>
      </c>
      <c r="D15" s="1">
        <f t="shared" ref="D15:F15" si="5">MIN(D5:D10)</f>
        <v>2200</v>
      </c>
      <c r="E15" s="1">
        <f t="shared" si="5"/>
        <v>30</v>
      </c>
      <c r="F15" s="48">
        <f t="shared" si="5"/>
        <v>1530</v>
      </c>
    </row>
    <row r="16" spans="1:6" ht="18" customHeight="1" thickBot="1" x14ac:dyDescent="0.3">
      <c r="A16" s="51"/>
      <c r="B16" s="52" t="s">
        <v>53</v>
      </c>
      <c r="C16" s="53">
        <f>COUNT(C5:C10)</f>
        <v>6</v>
      </c>
      <c r="D16" s="53">
        <f t="shared" ref="D16:F16" si="6">COUNT(D5:D10)</f>
        <v>6</v>
      </c>
      <c r="E16" s="53">
        <f t="shared" si="6"/>
        <v>6</v>
      </c>
      <c r="F16" s="54">
        <f t="shared" si="6"/>
        <v>6</v>
      </c>
    </row>
  </sheetData>
  <mergeCells count="2">
    <mergeCell ref="A1:F1"/>
    <mergeCell ref="A2:F2"/>
  </mergeCells>
  <pageMargins left="0.7" right="0.7" top="0.75" bottom="0.75" header="0.3" footer="0.3"/>
  <pageSetup orientation="portrait" r:id="rId1"/>
  <headerFooter>
    <oddHeader>&amp;LRoshan&amp;C&amp;P&amp;R023-23-0170</oddHeader>
    <oddFooter>&amp;L&amp;D&amp;R&amp;T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E2" sqref="E2"/>
    </sheetView>
  </sheetViews>
  <sheetFormatPr defaultRowHeight="15" x14ac:dyDescent="0.25"/>
  <cols>
    <col min="1" max="6" width="7.7109375" customWidth="1"/>
    <col min="7" max="7" width="11.7109375" customWidth="1"/>
  </cols>
  <sheetData>
    <row r="1" spans="1:7" ht="66.599999999999994" customHeight="1" x14ac:dyDescent="0.25">
      <c r="A1" s="57" t="s">
        <v>55</v>
      </c>
      <c r="B1" s="57" t="s">
        <v>56</v>
      </c>
      <c r="C1" s="57" t="s">
        <v>57</v>
      </c>
      <c r="D1" s="58" t="s">
        <v>58</v>
      </c>
      <c r="E1" s="57" t="s">
        <v>59</v>
      </c>
      <c r="F1" s="57" t="s">
        <v>60</v>
      </c>
      <c r="G1" s="58" t="s">
        <v>61</v>
      </c>
    </row>
    <row r="2" spans="1:7" x14ac:dyDescent="0.25">
      <c r="A2" s="2">
        <v>100</v>
      </c>
      <c r="B2" s="2">
        <v>115</v>
      </c>
      <c r="C2" s="2">
        <v>30</v>
      </c>
      <c r="D2" s="2">
        <f>IF(C2&lt;100,50,100)</f>
        <v>50</v>
      </c>
      <c r="E2" s="2">
        <f>PRODUCT(B2,C2)</f>
        <v>3450</v>
      </c>
      <c r="F2" s="2">
        <f>SUM(E2,D2)</f>
        <v>3500</v>
      </c>
      <c r="G2" s="2" t="str">
        <f>IF(F2&gt;3500,"HIGH","REASONABLE")</f>
        <v>REASONABLE</v>
      </c>
    </row>
    <row r="3" spans="1:7" x14ac:dyDescent="0.25">
      <c r="A3" s="2">
        <v>101</v>
      </c>
      <c r="B3" s="2">
        <v>256</v>
      </c>
      <c r="C3" s="2">
        <v>12</v>
      </c>
      <c r="D3" s="2">
        <f t="shared" ref="D3:D9" si="0">IF(C3&lt;100,50,100)</f>
        <v>50</v>
      </c>
      <c r="E3" s="2">
        <f t="shared" ref="E3:E9" si="1">PRODUCT(B3,C3)</f>
        <v>3072</v>
      </c>
      <c r="F3" s="2">
        <f t="shared" ref="F3:F9" si="2">SUM(E3,D3)</f>
        <v>3122</v>
      </c>
      <c r="G3" s="2" t="str">
        <f t="shared" ref="G3:G9" si="3">IF(F3&gt;3500,"HIGH","REASONABLE")</f>
        <v>REASONABLE</v>
      </c>
    </row>
    <row r="4" spans="1:7" x14ac:dyDescent="0.25">
      <c r="A4" s="2"/>
      <c r="B4" s="2">
        <v>49</v>
      </c>
      <c r="C4" s="2">
        <v>56</v>
      </c>
      <c r="D4" s="2">
        <f t="shared" si="0"/>
        <v>50</v>
      </c>
      <c r="E4" s="2">
        <f t="shared" si="1"/>
        <v>2744</v>
      </c>
      <c r="F4" s="2">
        <f t="shared" si="2"/>
        <v>2794</v>
      </c>
      <c r="G4" s="2" t="str">
        <f t="shared" si="3"/>
        <v>REASONABLE</v>
      </c>
    </row>
    <row r="5" spans="1:7" x14ac:dyDescent="0.25">
      <c r="A5" s="2"/>
      <c r="B5" s="2">
        <v>23</v>
      </c>
      <c r="C5" s="2">
        <v>150</v>
      </c>
      <c r="D5" s="2">
        <f t="shared" si="0"/>
        <v>100</v>
      </c>
      <c r="E5" s="2">
        <f t="shared" si="1"/>
        <v>3450</v>
      </c>
      <c r="F5" s="2">
        <f t="shared" si="2"/>
        <v>3550</v>
      </c>
      <c r="G5" s="2" t="str">
        <f t="shared" si="3"/>
        <v>HIGH</v>
      </c>
    </row>
    <row r="6" spans="1:7" x14ac:dyDescent="0.25">
      <c r="A6" s="2"/>
      <c r="B6" s="2">
        <v>840</v>
      </c>
      <c r="C6" s="2">
        <v>5</v>
      </c>
      <c r="D6" s="2">
        <f t="shared" si="0"/>
        <v>50</v>
      </c>
      <c r="E6" s="2">
        <f t="shared" si="1"/>
        <v>4200</v>
      </c>
      <c r="F6" s="2">
        <f t="shared" si="2"/>
        <v>4250</v>
      </c>
      <c r="G6" s="2" t="str">
        <f t="shared" si="3"/>
        <v>HIGH</v>
      </c>
    </row>
    <row r="7" spans="1:7" x14ac:dyDescent="0.25">
      <c r="A7" s="2"/>
      <c r="B7" s="2">
        <v>200</v>
      </c>
      <c r="C7" s="2">
        <v>56</v>
      </c>
      <c r="D7" s="2">
        <f t="shared" si="0"/>
        <v>50</v>
      </c>
      <c r="E7" s="2">
        <f t="shared" si="1"/>
        <v>11200</v>
      </c>
      <c r="F7" s="2">
        <f t="shared" si="2"/>
        <v>11250</v>
      </c>
      <c r="G7" s="2" t="str">
        <f t="shared" si="3"/>
        <v>HIGH</v>
      </c>
    </row>
    <row r="8" spans="1:7" x14ac:dyDescent="0.25">
      <c r="A8" s="2"/>
      <c r="B8" s="2">
        <v>294</v>
      </c>
      <c r="C8" s="2">
        <v>300</v>
      </c>
      <c r="D8" s="2">
        <f t="shared" si="0"/>
        <v>100</v>
      </c>
      <c r="E8" s="2">
        <f t="shared" si="1"/>
        <v>88200</v>
      </c>
      <c r="F8" s="2">
        <f t="shared" si="2"/>
        <v>88300</v>
      </c>
      <c r="G8" s="2" t="str">
        <f t="shared" si="3"/>
        <v>HIGH</v>
      </c>
    </row>
    <row r="9" spans="1:7" x14ac:dyDescent="0.25">
      <c r="A9" s="2"/>
      <c r="B9" s="2">
        <v>4</v>
      </c>
      <c r="C9" s="2">
        <v>90</v>
      </c>
      <c r="D9" s="2">
        <f t="shared" si="0"/>
        <v>50</v>
      </c>
      <c r="E9" s="2">
        <f t="shared" si="1"/>
        <v>360</v>
      </c>
      <c r="F9" s="2">
        <f t="shared" si="2"/>
        <v>410</v>
      </c>
      <c r="G9" s="2" t="str">
        <f t="shared" si="3"/>
        <v>REASONABLE</v>
      </c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83" t="s">
        <v>62</v>
      </c>
      <c r="B11" s="84"/>
      <c r="C11" s="2">
        <f>SUM(B2:B9)</f>
        <v>1781</v>
      </c>
      <c r="D11" s="2"/>
      <c r="E11" s="2"/>
      <c r="F11" s="2"/>
      <c r="G11" s="2"/>
    </row>
    <row r="12" spans="1:7" x14ac:dyDescent="0.25">
      <c r="A12" s="83" t="s">
        <v>63</v>
      </c>
      <c r="B12" s="84"/>
      <c r="C12" s="2">
        <f>AVERAGE(D2:D9)</f>
        <v>62.5</v>
      </c>
      <c r="D12" s="2"/>
      <c r="E12" s="2"/>
      <c r="F12" s="2"/>
      <c r="G12" s="2"/>
    </row>
    <row r="13" spans="1:7" x14ac:dyDescent="0.25">
      <c r="A13" s="83" t="s">
        <v>64</v>
      </c>
      <c r="B13" s="84"/>
      <c r="C13" s="2">
        <f>MIN(C2:C9)</f>
        <v>5</v>
      </c>
      <c r="D13" s="2"/>
      <c r="E13" s="2"/>
      <c r="F13" s="2"/>
      <c r="G13" s="2"/>
    </row>
    <row r="14" spans="1:7" x14ac:dyDescent="0.25">
      <c r="A14" s="83" t="s">
        <v>65</v>
      </c>
      <c r="B14" s="84"/>
      <c r="C14" s="2">
        <f>MAX(C2:C9)</f>
        <v>300</v>
      </c>
      <c r="D14" s="2"/>
      <c r="E14" s="2"/>
      <c r="F14" s="2"/>
      <c r="G14" s="2"/>
    </row>
  </sheetData>
  <mergeCells count="4">
    <mergeCell ref="A11:B11"/>
    <mergeCell ref="A12:B12"/>
    <mergeCell ref="A13:B13"/>
    <mergeCell ref="A14:B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A15" zoomScale="115" zoomScaleNormal="115" workbookViewId="0">
      <selection activeCell="G17" sqref="G17"/>
    </sheetView>
  </sheetViews>
  <sheetFormatPr defaultRowHeight="15" x14ac:dyDescent="0.25"/>
  <cols>
    <col min="1" max="1" width="14.5703125" customWidth="1"/>
    <col min="2" max="5" width="10.7109375" customWidth="1"/>
    <col min="6" max="6" width="10.28515625" bestFit="1" customWidth="1"/>
  </cols>
  <sheetData>
    <row r="1" spans="1:6" x14ac:dyDescent="0.25">
      <c r="A1" s="59"/>
      <c r="B1" s="59" t="s">
        <v>66</v>
      </c>
      <c r="C1" s="59" t="s">
        <v>67</v>
      </c>
      <c r="D1" s="59" t="s">
        <v>68</v>
      </c>
      <c r="E1" s="59" t="s">
        <v>69</v>
      </c>
      <c r="F1" s="59" t="s">
        <v>70</v>
      </c>
    </row>
    <row r="2" spans="1:6" x14ac:dyDescent="0.25">
      <c r="A2" s="59" t="s">
        <v>71</v>
      </c>
      <c r="B2" s="1">
        <v>65</v>
      </c>
      <c r="C2" s="1">
        <v>70</v>
      </c>
      <c r="D2" s="1">
        <v>56</v>
      </c>
      <c r="E2" s="1">
        <v>95</v>
      </c>
      <c r="F2" s="1">
        <v>67</v>
      </c>
    </row>
    <row r="3" spans="1:6" x14ac:dyDescent="0.25">
      <c r="A3" s="59" t="s">
        <v>72</v>
      </c>
      <c r="B3" s="1">
        <v>78</v>
      </c>
      <c r="C3" s="1">
        <v>78</v>
      </c>
      <c r="D3" s="1">
        <v>67</v>
      </c>
      <c r="E3" s="1">
        <v>93</v>
      </c>
      <c r="F3" s="1">
        <v>75</v>
      </c>
    </row>
    <row r="4" spans="1:6" x14ac:dyDescent="0.25">
      <c r="A4" s="59" t="s">
        <v>73</v>
      </c>
      <c r="B4" s="1">
        <v>95</v>
      </c>
      <c r="C4" s="1">
        <v>89</v>
      </c>
      <c r="D4" s="1">
        <v>87</v>
      </c>
      <c r="E4" s="1">
        <v>88</v>
      </c>
      <c r="F4" s="1">
        <v>75</v>
      </c>
    </row>
    <row r="5" spans="1:6" x14ac:dyDescent="0.25">
      <c r="A5" s="59" t="s">
        <v>74</v>
      </c>
      <c r="B5" s="1">
        <v>89</v>
      </c>
      <c r="C5" s="1">
        <v>89</v>
      </c>
      <c r="D5" s="1">
        <v>56</v>
      </c>
      <c r="E5" s="1">
        <v>83</v>
      </c>
      <c r="F5" s="1">
        <v>88</v>
      </c>
    </row>
    <row r="6" spans="1:6" x14ac:dyDescent="0.25">
      <c r="A6" s="59" t="s">
        <v>75</v>
      </c>
      <c r="B6" s="1">
        <v>56</v>
      </c>
      <c r="C6" s="1">
        <v>77</v>
      </c>
      <c r="D6" s="1">
        <v>64</v>
      </c>
      <c r="E6" s="1">
        <v>75</v>
      </c>
      <c r="F6" s="1">
        <v>56</v>
      </c>
    </row>
    <row r="7" spans="1:6" x14ac:dyDescent="0.25">
      <c r="A7" s="59" t="s">
        <v>76</v>
      </c>
      <c r="B7" s="1">
        <v>67</v>
      </c>
      <c r="C7" s="1">
        <v>75</v>
      </c>
      <c r="D7" s="1">
        <v>60</v>
      </c>
      <c r="E7" s="1">
        <v>57</v>
      </c>
      <c r="F7" s="1">
        <v>45</v>
      </c>
    </row>
    <row r="8" spans="1:6" x14ac:dyDescent="0.25">
      <c r="A8" s="59" t="s">
        <v>77</v>
      </c>
      <c r="B8" s="1">
        <v>72</v>
      </c>
      <c r="C8" s="1">
        <v>71</v>
      </c>
      <c r="D8" s="1">
        <v>78</v>
      </c>
      <c r="E8" s="1">
        <v>85</v>
      </c>
      <c r="F8" s="1">
        <v>46</v>
      </c>
    </row>
    <row r="9" spans="1:6" x14ac:dyDescent="0.25">
      <c r="A9" s="59" t="s">
        <v>78</v>
      </c>
      <c r="B9" s="1">
        <v>0</v>
      </c>
      <c r="C9" s="1">
        <v>81</v>
      </c>
      <c r="D9" s="1">
        <v>88</v>
      </c>
      <c r="E9" s="1">
        <v>78</v>
      </c>
      <c r="F9" s="1">
        <v>52</v>
      </c>
    </row>
    <row r="10" spans="1:6" x14ac:dyDescent="0.25">
      <c r="A10" s="59" t="s">
        <v>79</v>
      </c>
      <c r="B10" s="1">
        <v>56</v>
      </c>
      <c r="C10" s="1">
        <v>89</v>
      </c>
      <c r="D10" s="1">
        <v>36</v>
      </c>
      <c r="E10" s="1">
        <v>0</v>
      </c>
      <c r="F10" s="1">
        <v>63</v>
      </c>
    </row>
    <row r="11" spans="1:6" x14ac:dyDescent="0.25">
      <c r="A11" s="59" t="s">
        <v>80</v>
      </c>
      <c r="B11" s="1">
        <v>85</v>
      </c>
      <c r="C11" s="1">
        <v>87</v>
      </c>
      <c r="D11" s="1">
        <v>30</v>
      </c>
      <c r="E11" s="1">
        <v>57</v>
      </c>
      <c r="F11" s="1">
        <v>67</v>
      </c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65" t="s">
        <v>81</v>
      </c>
      <c r="B13" s="1">
        <f>MIN(B2:B11)</f>
        <v>0</v>
      </c>
      <c r="C13" s="1">
        <f t="shared" ref="C13:F13" si="0">MIN(C2:C11)</f>
        <v>70</v>
      </c>
      <c r="D13" s="1">
        <f t="shared" si="0"/>
        <v>30</v>
      </c>
      <c r="E13" s="1">
        <f t="shared" si="0"/>
        <v>0</v>
      </c>
      <c r="F13" s="1">
        <f t="shared" si="0"/>
        <v>45</v>
      </c>
    </row>
    <row r="14" spans="1:6" x14ac:dyDescent="0.25">
      <c r="A14" s="65" t="s">
        <v>82</v>
      </c>
      <c r="B14" s="1">
        <f>MAX(B2:B11)</f>
        <v>95</v>
      </c>
      <c r="C14" s="1">
        <f t="shared" ref="C14:F14" si="1">MAX(C2:C11)</f>
        <v>89</v>
      </c>
      <c r="D14" s="1">
        <f t="shared" si="1"/>
        <v>88</v>
      </c>
      <c r="E14" s="1">
        <f t="shared" si="1"/>
        <v>95</v>
      </c>
      <c r="F14" s="1">
        <f t="shared" si="1"/>
        <v>88</v>
      </c>
    </row>
    <row r="15" spans="1:6" x14ac:dyDescent="0.25">
      <c r="A15" s="66" t="s">
        <v>83</v>
      </c>
      <c r="B15" s="60">
        <f>SUM(B2:B11)</f>
        <v>663</v>
      </c>
      <c r="C15" s="63">
        <f t="shared" ref="C15:F15" si="2">SUM(C2:C11)</f>
        <v>806</v>
      </c>
      <c r="D15" s="1">
        <f t="shared" si="2"/>
        <v>622</v>
      </c>
      <c r="E15" s="62">
        <f t="shared" si="2"/>
        <v>711</v>
      </c>
      <c r="F15" s="64">
        <f t="shared" si="2"/>
        <v>634</v>
      </c>
    </row>
    <row r="16" spans="1:6" x14ac:dyDescent="0.25">
      <c r="A16" s="67" t="s">
        <v>84</v>
      </c>
      <c r="B16" s="61">
        <f>AVERAGE(B2:B11)</f>
        <v>66.3</v>
      </c>
      <c r="C16" s="1">
        <f t="shared" ref="C16:F16" si="3">AVERAGE(C2:C11)</f>
        <v>80.599999999999994</v>
      </c>
      <c r="D16" s="1">
        <f t="shared" si="3"/>
        <v>62.2</v>
      </c>
      <c r="E16" s="1">
        <f t="shared" si="3"/>
        <v>71.099999999999994</v>
      </c>
      <c r="F16" s="1">
        <f t="shared" si="3"/>
        <v>63.4</v>
      </c>
    </row>
    <row r="17" spans="1:6" x14ac:dyDescent="0.25">
      <c r="A17" s="46"/>
      <c r="B17" s="1"/>
      <c r="C17" s="1"/>
      <c r="D17" s="1"/>
      <c r="E17" s="1"/>
      <c r="F17" s="1"/>
    </row>
  </sheetData>
  <conditionalFormatting sqref="B2:F11">
    <cfRule type="cellIs" dxfId="0" priority="1" operator="greaterThan">
      <formula>50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selection activeCell="C4" sqref="C4"/>
    </sheetView>
  </sheetViews>
  <sheetFormatPr defaultRowHeight="15" x14ac:dyDescent="0.25"/>
  <cols>
    <col min="2" max="2" width="10.28515625" customWidth="1"/>
    <col min="3" max="7" width="12.7109375" customWidth="1"/>
  </cols>
  <sheetData>
    <row r="1" spans="1:7" x14ac:dyDescent="0.25">
      <c r="A1" s="89" t="s">
        <v>90</v>
      </c>
      <c r="B1" s="89"/>
      <c r="C1" s="89"/>
      <c r="D1" s="89"/>
      <c r="E1" s="89"/>
      <c r="F1" s="89"/>
      <c r="G1" s="89"/>
    </row>
    <row r="2" spans="1:7" x14ac:dyDescent="0.25">
      <c r="B2" t="s">
        <v>85</v>
      </c>
      <c r="C2" t="s">
        <v>86</v>
      </c>
      <c r="D2" t="s">
        <v>91</v>
      </c>
      <c r="E2" t="s">
        <v>87</v>
      </c>
      <c r="F2" t="s">
        <v>88</v>
      </c>
      <c r="G2" t="s">
        <v>89</v>
      </c>
    </row>
    <row r="3" spans="1:7" x14ac:dyDescent="0.25">
      <c r="B3" s="90">
        <v>45231</v>
      </c>
      <c r="C3" s="91">
        <v>100</v>
      </c>
      <c r="D3" s="91">
        <v>20</v>
      </c>
      <c r="E3" s="91">
        <v>20</v>
      </c>
      <c r="F3" s="91">
        <v>10</v>
      </c>
      <c r="G3" s="91">
        <v>40</v>
      </c>
    </row>
    <row r="4" spans="1:7" x14ac:dyDescent="0.25">
      <c r="B4" s="90">
        <v>45232</v>
      </c>
      <c r="C4" s="91">
        <v>120</v>
      </c>
      <c r="D4" s="91">
        <v>20</v>
      </c>
      <c r="E4" s="91">
        <v>20</v>
      </c>
      <c r="F4" s="91">
        <v>0</v>
      </c>
      <c r="G4" s="91">
        <v>0</v>
      </c>
    </row>
    <row r="5" spans="1:7" x14ac:dyDescent="0.25">
      <c r="B5" s="90">
        <v>45233</v>
      </c>
      <c r="C5" s="91">
        <v>150</v>
      </c>
      <c r="D5" s="91">
        <v>10</v>
      </c>
      <c r="E5" s="91">
        <v>20</v>
      </c>
      <c r="F5" s="91">
        <v>0</v>
      </c>
      <c r="G5" s="91">
        <v>0</v>
      </c>
    </row>
    <row r="6" spans="1:7" x14ac:dyDescent="0.25">
      <c r="B6" s="90">
        <v>45234</v>
      </c>
      <c r="C6" s="91">
        <v>100</v>
      </c>
      <c r="D6" s="91">
        <v>20</v>
      </c>
      <c r="E6" s="91">
        <v>20</v>
      </c>
      <c r="F6" s="91">
        <v>10</v>
      </c>
      <c r="G6" s="91">
        <v>20</v>
      </c>
    </row>
    <row r="7" spans="1:7" x14ac:dyDescent="0.25">
      <c r="B7" s="90">
        <v>45235</v>
      </c>
      <c r="C7" s="91">
        <v>100</v>
      </c>
      <c r="D7" s="91">
        <v>0</v>
      </c>
      <c r="E7" s="91">
        <v>40</v>
      </c>
      <c r="F7" s="91">
        <v>10</v>
      </c>
      <c r="G7" s="91">
        <v>0</v>
      </c>
    </row>
    <row r="8" spans="1:7" x14ac:dyDescent="0.25">
      <c r="B8" s="90">
        <v>45236</v>
      </c>
      <c r="C8" s="91">
        <v>150</v>
      </c>
      <c r="D8" s="91">
        <v>10</v>
      </c>
      <c r="E8" s="91">
        <v>0</v>
      </c>
      <c r="F8" s="91">
        <v>20</v>
      </c>
      <c r="G8" s="91">
        <v>50</v>
      </c>
    </row>
    <row r="9" spans="1:7" x14ac:dyDescent="0.25">
      <c r="B9" s="90">
        <v>45237</v>
      </c>
      <c r="C9" s="91">
        <v>120</v>
      </c>
      <c r="D9" s="91">
        <v>20</v>
      </c>
      <c r="E9" s="91">
        <v>0</v>
      </c>
      <c r="F9" s="91">
        <v>0</v>
      </c>
      <c r="G9" s="91">
        <v>0</v>
      </c>
    </row>
    <row r="11" spans="1:7" x14ac:dyDescent="0.25">
      <c r="A11" t="s">
        <v>99</v>
      </c>
    </row>
    <row r="12" spans="1:7" x14ac:dyDescent="0.25">
      <c r="B12" s="90">
        <v>45238</v>
      </c>
      <c r="C12" s="91">
        <v>150</v>
      </c>
      <c r="D12" s="91">
        <v>10</v>
      </c>
      <c r="E12" s="91">
        <v>0</v>
      </c>
      <c r="F12" s="91">
        <v>0</v>
      </c>
      <c r="G12" s="91">
        <v>0</v>
      </c>
    </row>
    <row r="13" spans="1:7" x14ac:dyDescent="0.25">
      <c r="B13" s="90">
        <v>45239</v>
      </c>
      <c r="C13" s="91">
        <v>100</v>
      </c>
      <c r="D13" s="91">
        <v>20</v>
      </c>
      <c r="E13" s="91">
        <v>0</v>
      </c>
      <c r="F13" s="91">
        <v>10</v>
      </c>
      <c r="G13" s="91">
        <v>0</v>
      </c>
    </row>
    <row r="14" spans="1:7" x14ac:dyDescent="0.25">
      <c r="B14" s="90">
        <v>45240</v>
      </c>
      <c r="C14" s="91">
        <v>100</v>
      </c>
      <c r="D14" s="91">
        <v>0</v>
      </c>
      <c r="E14" s="91">
        <v>20</v>
      </c>
      <c r="F14" s="91">
        <v>20</v>
      </c>
      <c r="G14" s="91">
        <v>0</v>
      </c>
    </row>
    <row r="15" spans="1:7" x14ac:dyDescent="0.25">
      <c r="B15" s="90">
        <v>45241</v>
      </c>
      <c r="C15" s="91">
        <v>130</v>
      </c>
      <c r="D15" s="91">
        <v>0</v>
      </c>
      <c r="E15" s="91">
        <v>20</v>
      </c>
      <c r="F15" s="91">
        <v>10</v>
      </c>
      <c r="G15" s="91">
        <v>10</v>
      </c>
    </row>
    <row r="16" spans="1:7" x14ac:dyDescent="0.25">
      <c r="B16" s="90">
        <v>45242</v>
      </c>
      <c r="C16" s="91">
        <v>120</v>
      </c>
      <c r="D16" s="91">
        <v>90</v>
      </c>
      <c r="E16" s="91">
        <v>10</v>
      </c>
      <c r="F16" s="91">
        <v>0</v>
      </c>
      <c r="G16" s="91">
        <v>20</v>
      </c>
    </row>
    <row r="17" spans="1:7" x14ac:dyDescent="0.25">
      <c r="B17" s="90">
        <v>45243</v>
      </c>
      <c r="C17" s="91">
        <v>150</v>
      </c>
      <c r="D17" s="91">
        <v>10</v>
      </c>
      <c r="E17" s="91">
        <v>40</v>
      </c>
      <c r="F17" s="91">
        <v>0</v>
      </c>
      <c r="G17" s="91">
        <v>10</v>
      </c>
    </row>
    <row r="18" spans="1:7" x14ac:dyDescent="0.25">
      <c r="B18" s="90">
        <v>45244</v>
      </c>
      <c r="C18" s="91">
        <v>100</v>
      </c>
      <c r="D18" s="91">
        <v>10</v>
      </c>
      <c r="E18" s="91">
        <v>20</v>
      </c>
      <c r="F18" s="91">
        <v>0</v>
      </c>
      <c r="G18" s="91">
        <v>70</v>
      </c>
    </row>
    <row r="20" spans="1:7" x14ac:dyDescent="0.25">
      <c r="A20" t="s">
        <v>98</v>
      </c>
    </row>
    <row r="21" spans="1:7" x14ac:dyDescent="0.25">
      <c r="A21" t="s">
        <v>95</v>
      </c>
      <c r="B21" s="90">
        <v>45245</v>
      </c>
      <c r="C21" s="90">
        <v>45025</v>
      </c>
      <c r="D21" s="92" t="s">
        <v>93</v>
      </c>
      <c r="E21" s="93" t="s">
        <v>93</v>
      </c>
      <c r="F21" s="93" t="s">
        <v>93</v>
      </c>
      <c r="G21" s="90">
        <v>44946</v>
      </c>
    </row>
    <row r="22" spans="1:7" x14ac:dyDescent="0.25">
      <c r="B22" s="90">
        <v>45246</v>
      </c>
      <c r="C22" s="90">
        <v>45025</v>
      </c>
      <c r="D22" s="90">
        <v>44936</v>
      </c>
      <c r="E22" s="93" t="s">
        <v>93</v>
      </c>
      <c r="F22" s="93" t="s">
        <v>93</v>
      </c>
      <c r="G22" s="90">
        <v>44935</v>
      </c>
    </row>
    <row r="23" spans="1:7" x14ac:dyDescent="0.25">
      <c r="B23" s="90">
        <v>45247</v>
      </c>
      <c r="C23" s="90">
        <v>45025</v>
      </c>
      <c r="D23" s="90">
        <v>44946</v>
      </c>
      <c r="E23" s="93" t="s">
        <v>93</v>
      </c>
      <c r="F23" s="93" t="s">
        <v>93</v>
      </c>
      <c r="G23" s="92" t="s">
        <v>93</v>
      </c>
    </row>
    <row r="24" spans="1:7" x14ac:dyDescent="0.25">
      <c r="B24" s="90">
        <v>45248</v>
      </c>
      <c r="C24" s="90">
        <v>45045</v>
      </c>
      <c r="D24" s="90">
        <v>44946</v>
      </c>
      <c r="E24" s="93" t="s">
        <v>93</v>
      </c>
      <c r="F24" s="93" t="s">
        <v>93</v>
      </c>
      <c r="G24" s="90">
        <v>44946</v>
      </c>
    </row>
    <row r="25" spans="1:7" x14ac:dyDescent="0.25">
      <c r="B25" s="90">
        <v>45249</v>
      </c>
      <c r="C25" s="90">
        <v>45045</v>
      </c>
      <c r="D25" s="90">
        <v>44946</v>
      </c>
      <c r="E25" s="93" t="s">
        <v>93</v>
      </c>
      <c r="F25" s="93" t="s">
        <v>93</v>
      </c>
      <c r="G25" s="90">
        <v>44946</v>
      </c>
    </row>
    <row r="26" spans="1:7" x14ac:dyDescent="0.25">
      <c r="B26" s="90">
        <v>45250</v>
      </c>
      <c r="C26" s="90">
        <v>45045</v>
      </c>
      <c r="D26" s="90">
        <v>44936</v>
      </c>
      <c r="E26" s="92">
        <v>44936</v>
      </c>
      <c r="F26" s="93" t="s">
        <v>93</v>
      </c>
      <c r="G26" s="92" t="s">
        <v>93</v>
      </c>
    </row>
    <row r="27" spans="1:7" x14ac:dyDescent="0.25">
      <c r="B27" s="90">
        <v>45251</v>
      </c>
      <c r="C27" s="90">
        <v>45025</v>
      </c>
      <c r="D27" s="93" t="s">
        <v>93</v>
      </c>
      <c r="E27" s="93" t="s">
        <v>93</v>
      </c>
      <c r="F27" s="93" t="s">
        <v>94</v>
      </c>
      <c r="G27" s="90">
        <v>44946</v>
      </c>
    </row>
    <row r="29" spans="1:7" x14ac:dyDescent="0.25">
      <c r="A29" t="s">
        <v>97</v>
      </c>
    </row>
    <row r="30" spans="1:7" x14ac:dyDescent="0.25">
      <c r="B30" s="90">
        <v>45252</v>
      </c>
      <c r="C30" s="94">
        <v>100</v>
      </c>
      <c r="D30" s="91">
        <v>90</v>
      </c>
      <c r="E30" s="91">
        <v>0</v>
      </c>
      <c r="F30" s="91">
        <v>0</v>
      </c>
      <c r="G30" s="91">
        <v>0</v>
      </c>
    </row>
    <row r="31" spans="1:7" x14ac:dyDescent="0.25">
      <c r="B31" s="90">
        <v>45253</v>
      </c>
      <c r="C31" s="94">
        <v>120</v>
      </c>
      <c r="D31" s="91">
        <v>30</v>
      </c>
      <c r="E31" s="91">
        <v>20</v>
      </c>
      <c r="F31" s="91">
        <v>0</v>
      </c>
      <c r="G31" s="91">
        <v>0</v>
      </c>
    </row>
    <row r="32" spans="1:7" x14ac:dyDescent="0.25">
      <c r="B32" s="90">
        <v>45254</v>
      </c>
      <c r="C32" s="94">
        <v>150</v>
      </c>
      <c r="D32" s="91">
        <v>0</v>
      </c>
      <c r="E32" s="91">
        <v>20</v>
      </c>
      <c r="F32" s="91">
        <v>0</v>
      </c>
      <c r="G32" s="91">
        <v>0</v>
      </c>
    </row>
    <row r="33" spans="1:7" x14ac:dyDescent="0.25">
      <c r="B33" s="90">
        <v>45255</v>
      </c>
      <c r="C33" s="94">
        <v>120</v>
      </c>
      <c r="D33" s="91">
        <v>10</v>
      </c>
      <c r="E33" s="91">
        <v>0</v>
      </c>
      <c r="F33" s="91">
        <v>10</v>
      </c>
      <c r="G33" s="91">
        <v>10</v>
      </c>
    </row>
    <row r="34" spans="1:7" x14ac:dyDescent="0.25">
      <c r="B34" s="90">
        <v>45256</v>
      </c>
      <c r="C34" s="94">
        <v>100</v>
      </c>
      <c r="D34" s="91">
        <v>10</v>
      </c>
      <c r="E34" s="91">
        <v>0</v>
      </c>
      <c r="F34" s="91">
        <v>20</v>
      </c>
      <c r="G34" s="91">
        <v>20</v>
      </c>
    </row>
    <row r="35" spans="1:7" x14ac:dyDescent="0.25">
      <c r="B35" s="90">
        <v>45257</v>
      </c>
      <c r="C35" s="94">
        <v>120</v>
      </c>
      <c r="D35" s="91">
        <v>10</v>
      </c>
      <c r="E35" s="91">
        <v>20</v>
      </c>
      <c r="F35" s="91">
        <v>0</v>
      </c>
      <c r="G35" s="91">
        <v>0</v>
      </c>
    </row>
    <row r="36" spans="1:7" x14ac:dyDescent="0.25">
      <c r="B36" s="90">
        <v>45258</v>
      </c>
      <c r="C36" s="94">
        <v>100</v>
      </c>
      <c r="D36" s="91">
        <v>20</v>
      </c>
      <c r="E36" s="91">
        <v>0</v>
      </c>
      <c r="F36" s="91">
        <v>20</v>
      </c>
      <c r="G36" s="91">
        <v>10</v>
      </c>
    </row>
    <row r="37" spans="1:7" x14ac:dyDescent="0.25">
      <c r="B37" s="85"/>
      <c r="C37" s="86"/>
    </row>
    <row r="38" spans="1:7" x14ac:dyDescent="0.25">
      <c r="A38" t="s">
        <v>96</v>
      </c>
      <c r="C38" s="86"/>
    </row>
    <row r="39" spans="1:7" x14ac:dyDescent="0.25">
      <c r="B39" s="90">
        <v>45259</v>
      </c>
      <c r="C39" s="90">
        <v>45045</v>
      </c>
      <c r="D39" s="90">
        <v>44936</v>
      </c>
      <c r="E39" s="93" t="s">
        <v>92</v>
      </c>
      <c r="F39" s="90">
        <v>44936</v>
      </c>
      <c r="G39" s="93" t="s">
        <v>93</v>
      </c>
    </row>
    <row r="40" spans="1:7" x14ac:dyDescent="0.25">
      <c r="B40" s="90">
        <v>45260</v>
      </c>
      <c r="C40" s="90">
        <v>45075</v>
      </c>
      <c r="D40" s="90">
        <v>44936</v>
      </c>
      <c r="E40" s="90">
        <v>44946</v>
      </c>
      <c r="F40" s="93" t="s">
        <v>93</v>
      </c>
      <c r="G40" s="93" t="s">
        <v>92</v>
      </c>
    </row>
    <row r="41" spans="1:7" x14ac:dyDescent="0.25">
      <c r="B41" s="87" t="s">
        <v>83</v>
      </c>
      <c r="C41" s="88"/>
    </row>
    <row r="42" spans="1:7" x14ac:dyDescent="0.25">
      <c r="C42" s="85"/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C13" sqref="C13"/>
    </sheetView>
  </sheetViews>
  <sheetFormatPr defaultRowHeight="15" x14ac:dyDescent="0.25"/>
  <cols>
    <col min="2" max="2" width="23.140625" customWidth="1"/>
    <col min="3" max="4" width="12.5703125" bestFit="1" customWidth="1"/>
    <col min="5" max="5" width="12.5703125" customWidth="1"/>
    <col min="6" max="7" width="11.5703125" bestFit="1" customWidth="1"/>
  </cols>
  <sheetData>
    <row r="1" spans="1:7" ht="36.75" customHeight="1" x14ac:dyDescent="0.25">
      <c r="A1" s="95" t="s">
        <v>100</v>
      </c>
      <c r="B1" s="95"/>
      <c r="C1" s="95"/>
      <c r="D1" s="95"/>
      <c r="E1" s="95"/>
      <c r="F1" s="95"/>
      <c r="G1" s="95"/>
    </row>
    <row r="2" spans="1:7" x14ac:dyDescent="0.25">
      <c r="A2" s="87" t="s">
        <v>101</v>
      </c>
      <c r="B2" s="87" t="s">
        <v>102</v>
      </c>
      <c r="C2" s="87" t="s">
        <v>103</v>
      </c>
      <c r="D2" s="87" t="s">
        <v>104</v>
      </c>
      <c r="E2" s="87" t="s">
        <v>105</v>
      </c>
      <c r="F2" s="87" t="s">
        <v>50</v>
      </c>
      <c r="G2" s="87" t="s">
        <v>106</v>
      </c>
    </row>
    <row r="3" spans="1:7" x14ac:dyDescent="0.25">
      <c r="A3" t="s">
        <v>107</v>
      </c>
      <c r="B3" t="s">
        <v>112</v>
      </c>
      <c r="C3" s="96">
        <v>22000</v>
      </c>
      <c r="D3" s="96">
        <v>29000</v>
      </c>
      <c r="E3" s="96">
        <v>19000</v>
      </c>
      <c r="F3" s="96">
        <f>AVERAGE(C3:E3)</f>
        <v>23333.333333333332</v>
      </c>
      <c r="G3" s="96">
        <f>MAX(C3:E3)</f>
        <v>29000</v>
      </c>
    </row>
    <row r="4" spans="1:7" x14ac:dyDescent="0.25">
      <c r="A4" t="s">
        <v>108</v>
      </c>
      <c r="B4" t="s">
        <v>113</v>
      </c>
      <c r="C4" s="96">
        <v>42000</v>
      </c>
      <c r="D4" s="96">
        <v>39000</v>
      </c>
      <c r="E4" s="96">
        <v>43000</v>
      </c>
      <c r="F4" s="96">
        <f t="shared" ref="F4:F7" si="0">AVERAGE(C4:E4)</f>
        <v>41333.333333333336</v>
      </c>
      <c r="G4" s="96">
        <f t="shared" ref="G4:G7" si="1">MAX(C4:E4)</f>
        <v>43000</v>
      </c>
    </row>
    <row r="5" spans="1:7" x14ac:dyDescent="0.25">
      <c r="A5" t="s">
        <v>109</v>
      </c>
      <c r="B5" t="s">
        <v>114</v>
      </c>
      <c r="C5" s="96">
        <v>18000</v>
      </c>
      <c r="D5" s="96">
        <v>20000</v>
      </c>
      <c r="E5" s="96">
        <v>72000</v>
      </c>
      <c r="F5" s="96">
        <f t="shared" si="0"/>
        <v>36666.666666666664</v>
      </c>
      <c r="G5" s="96">
        <f t="shared" si="1"/>
        <v>72000</v>
      </c>
    </row>
    <row r="6" spans="1:7" x14ac:dyDescent="0.25">
      <c r="A6" t="s">
        <v>110</v>
      </c>
      <c r="B6" t="s">
        <v>115</v>
      </c>
      <c r="C6" s="96">
        <v>35000</v>
      </c>
      <c r="D6" s="96">
        <v>26000</v>
      </c>
      <c r="E6" s="96">
        <v>31000</v>
      </c>
      <c r="F6" s="96">
        <f t="shared" si="0"/>
        <v>30666.666666666668</v>
      </c>
      <c r="G6" s="96">
        <f t="shared" si="1"/>
        <v>35000</v>
      </c>
    </row>
    <row r="7" spans="1:7" x14ac:dyDescent="0.25">
      <c r="A7" t="s">
        <v>111</v>
      </c>
      <c r="B7" t="s">
        <v>116</v>
      </c>
      <c r="C7" s="96">
        <v>12000</v>
      </c>
      <c r="D7" s="96">
        <v>15000</v>
      </c>
      <c r="E7" s="96">
        <v>13000</v>
      </c>
      <c r="F7" s="96">
        <f t="shared" si="0"/>
        <v>13333.333333333334</v>
      </c>
      <c r="G7" s="96">
        <f t="shared" si="1"/>
        <v>15000</v>
      </c>
    </row>
    <row r="8" spans="1:7" x14ac:dyDescent="0.25">
      <c r="B8" s="99" t="s">
        <v>117</v>
      </c>
      <c r="C8" s="96">
        <f>SUM(C3:C7)</f>
        <v>129000</v>
      </c>
      <c r="D8" s="96">
        <f t="shared" ref="D8:F8" si="2">SUM(D3:D7)</f>
        <v>129000</v>
      </c>
      <c r="E8" s="96">
        <f t="shared" si="2"/>
        <v>178000</v>
      </c>
      <c r="F8" s="96"/>
    </row>
    <row r="9" spans="1:7" x14ac:dyDescent="0.25">
      <c r="B9" s="99" t="s">
        <v>118</v>
      </c>
      <c r="C9" s="96">
        <v>83000</v>
      </c>
      <c r="D9" s="96">
        <v>84000</v>
      </c>
      <c r="E9" s="96">
        <v>43000</v>
      </c>
    </row>
    <row r="10" spans="1:7" x14ac:dyDescent="0.25">
      <c r="B10" s="99" t="s">
        <v>119</v>
      </c>
      <c r="C10" s="96">
        <f>C8-C9</f>
        <v>46000</v>
      </c>
      <c r="D10" s="96">
        <f t="shared" ref="D10:E10" si="3">D8-D9</f>
        <v>45000</v>
      </c>
      <c r="E10" s="96">
        <f t="shared" si="3"/>
        <v>135000</v>
      </c>
    </row>
    <row r="11" spans="1:7" x14ac:dyDescent="0.25">
      <c r="B11" s="99" t="s">
        <v>120</v>
      </c>
      <c r="C11">
        <f>PRODUCT(C10*0.1)</f>
        <v>4600</v>
      </c>
      <c r="D11">
        <f>PRODUCT(D10*0.1)</f>
        <v>4500</v>
      </c>
      <c r="E11">
        <f>PRODUCT(E10*0.1)</f>
        <v>13500</v>
      </c>
    </row>
    <row r="13" spans="1:7" ht="32.25" customHeight="1" x14ac:dyDescent="0.25">
      <c r="B13" s="98" t="s">
        <v>122</v>
      </c>
      <c r="C13" t="s">
        <v>123</v>
      </c>
    </row>
    <row r="14" spans="1:7" ht="31.5" customHeight="1" x14ac:dyDescent="0.25">
      <c r="B14" s="98" t="s">
        <v>121</v>
      </c>
    </row>
    <row r="15" spans="1:7" ht="13.5" customHeight="1" x14ac:dyDescent="0.25">
      <c r="B15" s="97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 1</vt:lpstr>
      <vt:lpstr>task 2</vt:lpstr>
      <vt:lpstr>task 3</vt:lpstr>
      <vt:lpstr>task 4</vt:lpstr>
      <vt:lpstr>task 5</vt:lpstr>
      <vt:lpstr>task 6</vt:lpstr>
      <vt:lpstr>task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S.</dc:creator>
  <cp:lastModifiedBy>PC</cp:lastModifiedBy>
  <cp:lastPrinted>2023-11-05T18:08:17Z</cp:lastPrinted>
  <dcterms:created xsi:type="dcterms:W3CDTF">2023-11-05T11:09:45Z</dcterms:created>
  <dcterms:modified xsi:type="dcterms:W3CDTF">2023-11-07T17:24:51Z</dcterms:modified>
</cp:coreProperties>
</file>