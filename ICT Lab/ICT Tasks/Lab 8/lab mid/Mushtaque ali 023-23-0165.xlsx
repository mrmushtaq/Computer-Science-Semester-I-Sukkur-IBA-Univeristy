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 tasks Pf\ICT Tasks\lab mid\"/>
    </mc:Choice>
  </mc:AlternateContent>
  <xr:revisionPtr revIDLastSave="0" documentId="8_{45AD4789-0F82-46B5-AAA6-8203717FB4D2}" xr6:coauthVersionLast="41" xr6:coauthVersionMax="41" xr10:uidLastSave="{00000000-0000-0000-0000-000000000000}"/>
  <bookViews>
    <workbookView xWindow="-120" yWindow="-120" windowWidth="20730" windowHeight="11160" activeTab="1" xr2:uid="{F6A88B79-C062-4EEE-8A13-873A19FD968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F19" i="1"/>
  <c r="F18" i="1"/>
  <c r="F17" i="1"/>
  <c r="E19" i="1"/>
  <c r="E18" i="1"/>
  <c r="B17" i="1"/>
  <c r="B18" i="1"/>
  <c r="E17" i="1"/>
  <c r="B27" i="1"/>
  <c r="B26" i="1"/>
  <c r="B23" i="1"/>
  <c r="B22" i="1"/>
  <c r="B21" i="1"/>
</calcChain>
</file>

<file path=xl/sharedStrings.xml><?xml version="1.0" encoding="utf-8"?>
<sst xmlns="http://schemas.openxmlformats.org/spreadsheetml/2006/main" count="69" uniqueCount="30">
  <si>
    <t>USA  Annual Purchases Report 2011</t>
  </si>
  <si>
    <t>Customer ID</t>
  </si>
  <si>
    <t>Gender</t>
  </si>
  <si>
    <t>City</t>
  </si>
  <si>
    <t>Education</t>
  </si>
  <si>
    <t>Annual Purchases</t>
  </si>
  <si>
    <t>Annual Salary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</si>
  <si>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</si>
  <si>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</si>
  <si>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</si>
  <si>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</si>
  <si>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</si>
  <si>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</si>
  <si>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</si>
  <si>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</si>
  <si>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</si>
  <si>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</si>
  <si>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M</t>
  </si>
  <si>
    <t>F</t>
  </si>
  <si>
    <t>New York</t>
  </si>
  <si>
    <t>Chicago</t>
  </si>
  <si>
    <t>University</t>
  </si>
  <si>
    <t>None</t>
  </si>
  <si>
    <t>High School</t>
  </si>
  <si>
    <t>Total Annual Purchases</t>
  </si>
  <si>
    <t>Seattle</t>
  </si>
  <si>
    <t>Male</t>
  </si>
  <si>
    <t>Female</t>
  </si>
  <si>
    <t>Average Annual Purchases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</si>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</sst>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180" wrapText="1"/>
    </xf>
    <xf numFmtId="0" fontId="0" fillId="2" borderId="1" xfId="0" applyFill="1" applyBorder="1" applyAlignment="1">
      <alignment wrapText="1"/>
    </xf>
    <xf numFmtId="164" fontId="0" fillId="0" borderId="1" xfId="0" applyNumberFormat="1" applyBorder="1"/>
    <xf numFmtId="164" fontId="0" fillId="2" borderId="0" xfId="0" applyNumberFormat="1" applyFill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Sheet1!$B$25</c:f>
              <c:strCache>
                <c:ptCount val="1"/>
                <c:pt idx="0">
                  <c:v>Population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Sheet1!$A$26:$A$27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Sheet1!$B$26:$B$27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7-4F10-B54A-D59446D63D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88953176433056"/>
          <c:y val="0.38020778652668419"/>
          <c:w val="0.15830512898594859"/>
          <c:h val="0.20775517643627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 Annual Purchases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Sheet1!$A$16:$A$18</c:f>
              <c:strCache>
                <c:ptCount val="3"/>
                <c:pt idx="0">
                  <c:v>New York</c:v>
                </c:pt>
                <c:pt idx="1">
                  <c:v>Chicago</c:v>
                </c:pt>
                <c:pt idx="2">
                  <c:v>Seattle</c:v>
                </c:pt>
              </c:strCache>
            </c:strRef>
          </c:cat>
          <c:val>
            <c:numRef>
              <c:f>Sheet1!$B$16:$B$18</c:f>
              <c:numCache>
                <c:formatCode>_-[$$-409]* #,##0.00_ ;_-[$$-409]* \-#,##0.00\ ;_-[$$-409]* "-"??_ ;_-@_ </c:formatCode>
                <c:ptCount val="3"/>
                <c:pt idx="0">
                  <c:v>17732</c:v>
                </c:pt>
                <c:pt idx="1">
                  <c:v>58346</c:v>
                </c:pt>
                <c:pt idx="2">
                  <c:v>11890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3-470B-A9A4-7D94D90EBF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0146144"/>
        <c:axId val="460146472"/>
      </c:barChart>
      <c:catAx>
        <c:axId val="46014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0146472"/>
        <c:crosses val="autoZero"/>
        <c:auto val="1"/>
        <c:lblAlgn val="ctr"/>
        <c:lblOffset val="100"/>
        <c:noMultiLvlLbl val="0"/>
      </c:catAx>
      <c:valAx>
        <c:axId val="460146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014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Purchase VS Annual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9698403324584429"/>
          <c:y val="0.17171296296296298"/>
          <c:w val="0.8030159667541557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Annual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Sheet1!$E$3:$E$12</c:f>
              <c:numCache>
                <c:formatCode>_-[$$-409]* #,##0.00_ ;_-[$$-409]* \-#,##0.00\ ;_-[$$-409]* "-"??_ ;_-@_ </c:formatCode>
                <c:ptCount val="10"/>
                <c:pt idx="0">
                  <c:v>6233</c:v>
                </c:pt>
                <c:pt idx="1">
                  <c:v>4233</c:v>
                </c:pt>
                <c:pt idx="2">
                  <c:v>6560</c:v>
                </c:pt>
                <c:pt idx="3">
                  <c:v>5001</c:v>
                </c:pt>
                <c:pt idx="4">
                  <c:v>7034</c:v>
                </c:pt>
                <c:pt idx="5">
                  <c:v>53345</c:v>
                </c:pt>
                <c:pt idx="6">
                  <c:v>790</c:v>
                </c:pt>
                <c:pt idx="7">
                  <c:v>240</c:v>
                </c:pt>
                <c:pt idx="8">
                  <c:v>4300</c:v>
                </c:pt>
                <c:pt idx="9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D-43E4-A9D9-6DD42260A08A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Annual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Sheet1!$F$3:$F$12</c:f>
              <c:numCache>
                <c:formatCode>_-[$$-409]* #,##0.00_ ;_-[$$-409]* \-#,##0.00\ ;_-[$$-409]* "-"??_ ;_-@_ </c:formatCode>
                <c:ptCount val="10"/>
                <c:pt idx="0">
                  <c:v>7500</c:v>
                </c:pt>
                <c:pt idx="1">
                  <c:v>4999</c:v>
                </c:pt>
                <c:pt idx="2">
                  <c:v>6750</c:v>
                </c:pt>
                <c:pt idx="3">
                  <c:v>12000</c:v>
                </c:pt>
                <c:pt idx="4">
                  <c:v>17500</c:v>
                </c:pt>
                <c:pt idx="5">
                  <c:v>13150</c:v>
                </c:pt>
                <c:pt idx="6">
                  <c:v>3799</c:v>
                </c:pt>
                <c:pt idx="7">
                  <c:v>2150</c:v>
                </c:pt>
                <c:pt idx="8">
                  <c:v>22450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D-43E4-A9D9-6DD42260A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522016"/>
        <c:axId val="463521360"/>
      </c:barChart>
      <c:catAx>
        <c:axId val="4635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3521360"/>
        <c:crosses val="autoZero"/>
        <c:auto val="1"/>
        <c:lblAlgn val="ctr"/>
        <c:lblOffset val="100"/>
        <c:noMultiLvlLbl val="0"/>
      </c:catAx>
      <c:valAx>
        <c:axId val="463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35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Annual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Sheet1!$B$3:$C$12</c:f>
              <c:multiLvlStrCache>
                <c:ptCount val="10"/>
                <c:lvl>
                  <c:pt idx="0">
                    <c:v>New York</c:v>
                  </c:pt>
                  <c:pt idx="1">
                    <c:v>New York</c:v>
                  </c:pt>
                  <c:pt idx="2">
                    <c:v>Seattle</c:v>
                  </c:pt>
                  <c:pt idx="3">
                    <c:v>Chicago</c:v>
                  </c:pt>
                  <c:pt idx="4">
                    <c:v>New York</c:v>
                  </c:pt>
                  <c:pt idx="5">
                    <c:v>Chicago</c:v>
                  </c:pt>
                  <c:pt idx="6">
                    <c:v>Seattle</c:v>
                  </c:pt>
                  <c:pt idx="7">
                    <c:v>Seattle</c:v>
                  </c:pt>
                  <c:pt idx="8">
                    <c:v>Seattle</c:v>
                  </c:pt>
                  <c:pt idx="9">
                    <c:v>New York</c:v>
                  </c:pt>
                </c:lvl>
                <c:lvl>
                  <c:pt idx="0">
                    <c:v>M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_-[$$-409]* #,##0.00_ ;_-[$$-409]* \-#,##0.00\ ;_-[$$-409]* "-"??_ ;_-@_ </c:formatCode>
                <c:ptCount val="10"/>
                <c:pt idx="0">
                  <c:v>6233</c:v>
                </c:pt>
                <c:pt idx="1">
                  <c:v>4233</c:v>
                </c:pt>
                <c:pt idx="2">
                  <c:v>6560</c:v>
                </c:pt>
                <c:pt idx="3">
                  <c:v>5001</c:v>
                </c:pt>
                <c:pt idx="4">
                  <c:v>7034</c:v>
                </c:pt>
                <c:pt idx="5">
                  <c:v>53345</c:v>
                </c:pt>
                <c:pt idx="6">
                  <c:v>790</c:v>
                </c:pt>
                <c:pt idx="7">
                  <c:v>240</c:v>
                </c:pt>
                <c:pt idx="8">
                  <c:v>4300</c:v>
                </c:pt>
                <c:pt idx="9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5-4EA3-8BBC-BA54398C4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346600"/>
        <c:axId val="459352176"/>
      </c:barChart>
      <c:catAx>
        <c:axId val="45934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9352176"/>
        <c:crosses val="autoZero"/>
        <c:auto val="1"/>
        <c:lblAlgn val="ctr"/>
        <c:lblOffset val="100"/>
        <c:noMultiLvlLbl val="0"/>
      </c:catAx>
      <c:valAx>
        <c:axId val="4593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934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19</xdr:row>
      <xdr:rowOff>466725</xdr:rowOff>
    </xdr:from>
    <xdr:to>
      <xdr:col>13</xdr:col>
      <xdr:colOff>180975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B92D0-8F0E-4F22-A3C7-BA01F28F3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166687</xdr:colOff>
      <xdr:row>19</xdr:row>
      <xdr:rowOff>457200</xdr:rowOff>
    </xdr:from>
    <xdr:to>
      <xdr:col>7</xdr:col>
      <xdr:colOff>352425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DDAEE-6820-46CB-BF0C-BC69F77F3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34</xdr:row>
      <xdr:rowOff>0</xdr:rowOff>
    </xdr:from>
    <xdr:to>
      <xdr:col>12</xdr:col>
      <xdr:colOff>390525</xdr:colOff>
      <xdr:row>48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954E07-A728-4BB2-8EE0-403A8C859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566737</xdr:colOff>
      <xdr:row>34</xdr:row>
      <xdr:rowOff>142875</xdr:rowOff>
    </xdr:from>
    <xdr:to>
      <xdr:col>6</xdr:col>
      <xdr:colOff>90487</xdr:colOff>
      <xdr:row>49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D622E8C-FBC0-425A-8DBE-5A1D27A00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D4D2-1EED-49DD-8014-AD642D06A6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A5B3-8475-478F-9D52-996506420C96}">
  <dimension ref="A1:F27"/>
  <sheetViews>
    <sheetView tabSelected="1" topLeftCell="A31" workbookViewId="0">
      <selection activeCell="E17" sqref="E17"/>
    </sheetView>
  </sheetViews>
  <sheetFormatPr defaultRowHeight="15" x14ac:dyDescent="0.25"/>
  <cols>
    <col min="1" max="1" width="11.28515625" bestFit="1" customWidth="1"/>
    <col min="2" max="2" width="11.28515625" customWidth="1"/>
    <col min="4" max="4" width="14.28515625" customWidth="1"/>
    <col min="5" max="5" width="15.140625" customWidth="1"/>
    <col min="6" max="6" width="14.5703125" bestFit="1" customWidth="1"/>
  </cols>
  <sheetData>
    <row r="1" spans="1:6" ht="27" customHeight="1" x14ac:dyDescent="0.25">
      <c r="A1" s="1" t="s">
        <v>0</v>
      </c>
      <c r="B1" s="1"/>
      <c r="C1" s="1"/>
      <c r="D1" s="1"/>
      <c r="E1" s="1"/>
    </row>
    <row r="2" spans="1:6" ht="43.5" customHeight="1" x14ac:dyDescent="0.25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5">
      <c r="A3" s="4" t="s">
        <v>7</v>
      </c>
      <c r="B3" s="4" t="s">
        <v>17</v>
      </c>
      <c r="C3" s="4" t="s">
        <v>19</v>
      </c>
      <c r="D3" s="4" t="s">
        <v>21</v>
      </c>
      <c r="E3" s="8">
        <v>6233</v>
      </c>
      <c r="F3" s="8">
        <v>7500</v>
      </c>
    </row>
    <row r="4" spans="1:6" x14ac:dyDescent="0.25">
      <c r="A4" s="4" t="s">
        <v>8</v>
      </c>
      <c r="B4" s="4" t="s">
        <v>17</v>
      </c>
      <c r="C4" s="4" t="s">
        <v>19</v>
      </c>
      <c r="D4" s="4" t="s">
        <v>23</v>
      </c>
      <c r="E4" s="8">
        <v>4233</v>
      </c>
      <c r="F4" s="8">
        <v>4999</v>
      </c>
    </row>
    <row r="5" spans="1:6" x14ac:dyDescent="0.25">
      <c r="A5" s="4" t="s">
        <v>9</v>
      </c>
      <c r="B5" s="4" t="s">
        <v>18</v>
      </c>
      <c r="C5" s="4" t="s">
        <v>25</v>
      </c>
      <c r="D5" s="4" t="s">
        <v>21</v>
      </c>
      <c r="E5" s="8">
        <v>6560</v>
      </c>
      <c r="F5" s="8">
        <v>6750</v>
      </c>
    </row>
    <row r="6" spans="1:6" x14ac:dyDescent="0.25">
      <c r="A6" s="4" t="s">
        <v>10</v>
      </c>
      <c r="B6" s="4" t="s">
        <v>17</v>
      </c>
      <c r="C6" s="4" t="s">
        <v>20</v>
      </c>
      <c r="D6" s="4" t="s">
        <v>21</v>
      </c>
      <c r="E6" s="8">
        <v>5001</v>
      </c>
      <c r="F6" s="8">
        <v>12000</v>
      </c>
    </row>
    <row r="7" spans="1:6" x14ac:dyDescent="0.25">
      <c r="A7" s="4" t="s">
        <v>11</v>
      </c>
      <c r="B7" s="4" t="s">
        <v>18</v>
      </c>
      <c r="C7" s="4" t="s">
        <v>19</v>
      </c>
      <c r="D7" s="4" t="s">
        <v>21</v>
      </c>
      <c r="E7" s="8">
        <v>7034</v>
      </c>
      <c r="F7" s="8">
        <v>17500</v>
      </c>
    </row>
    <row r="8" spans="1:6" x14ac:dyDescent="0.25">
      <c r="A8" s="4" t="s">
        <v>12</v>
      </c>
      <c r="B8" s="4" t="s">
        <v>18</v>
      </c>
      <c r="C8" s="4" t="s">
        <v>20</v>
      </c>
      <c r="D8" s="4" t="s">
        <v>21</v>
      </c>
      <c r="E8" s="8">
        <v>53345</v>
      </c>
      <c r="F8" s="8">
        <v>13150</v>
      </c>
    </row>
    <row r="9" spans="1:6" x14ac:dyDescent="0.25">
      <c r="A9" s="4" t="s">
        <v>13</v>
      </c>
      <c r="B9" s="4" t="s">
        <v>18</v>
      </c>
      <c r="C9" s="4" t="s">
        <v>25</v>
      </c>
      <c r="D9" s="4" t="s">
        <v>23</v>
      </c>
      <c r="E9" s="8">
        <v>790</v>
      </c>
      <c r="F9" s="8">
        <v>3799</v>
      </c>
    </row>
    <row r="10" spans="1:6" x14ac:dyDescent="0.25">
      <c r="A10" s="4" t="s">
        <v>14</v>
      </c>
      <c r="B10" s="4" t="s">
        <v>18</v>
      </c>
      <c r="C10" s="4" t="s">
        <v>25</v>
      </c>
      <c r="D10" s="4" t="s">
        <v>22</v>
      </c>
      <c r="E10" s="8">
        <v>240</v>
      </c>
      <c r="F10" s="8">
        <v>2150</v>
      </c>
    </row>
    <row r="11" spans="1:6" x14ac:dyDescent="0.25">
      <c r="A11" s="4" t="s">
        <v>15</v>
      </c>
      <c r="B11" s="4" t="s">
        <v>18</v>
      </c>
      <c r="C11" s="4" t="s">
        <v>25</v>
      </c>
      <c r="D11" s="4" t="s">
        <v>21</v>
      </c>
      <c r="E11" s="8">
        <v>4300</v>
      </c>
      <c r="F11" s="8">
        <v>22450</v>
      </c>
    </row>
    <row r="12" spans="1:6" x14ac:dyDescent="0.25">
      <c r="A12" s="4" t="s">
        <v>16</v>
      </c>
      <c r="B12" s="4" t="s">
        <v>17</v>
      </c>
      <c r="C12" s="4" t="s">
        <v>19</v>
      </c>
      <c r="D12" s="4" t="s">
        <v>22</v>
      </c>
      <c r="E12" s="8">
        <v>232</v>
      </c>
      <c r="F12" s="8">
        <v>2500</v>
      </c>
    </row>
    <row r="15" spans="1:6" ht="46.5" customHeight="1" x14ac:dyDescent="0.25">
      <c r="A15" s="3" t="s">
        <v>3</v>
      </c>
      <c r="B15" s="7" t="s">
        <v>24</v>
      </c>
      <c r="D15" t="s">
        <v>6</v>
      </c>
      <c r="E15" s="3" t="s">
        <v>2</v>
      </c>
      <c r="F15" s="3"/>
    </row>
    <row r="16" spans="1:6" x14ac:dyDescent="0.25">
      <c r="A16" s="4" t="s">
        <v>19</v>
      </c>
      <c r="B16" s="8">
        <f>SUMIF(C3:C12,"New York",E3:E12)</f>
        <v>17732</v>
      </c>
      <c r="D16" s="3" t="s">
        <v>3</v>
      </c>
      <c r="E16" s="3" t="s">
        <v>26</v>
      </c>
      <c r="F16" s="3" t="s">
        <v>27</v>
      </c>
    </row>
    <row r="17" spans="1:6" x14ac:dyDescent="0.25">
      <c r="A17" s="4" t="s">
        <v>20</v>
      </c>
      <c r="B17" s="8">
        <f>SUMIF(C3:C12,"Chicago",E3:E12)</f>
        <v>58346</v>
      </c>
      <c r="D17" s="3" t="s">
        <v>19</v>
      </c>
      <c r="E17" s="4">
        <f>SUMIFS(E3:E12,B3:B12,"M",C3:C12,"New York")</f>
        <v>10698</v>
      </c>
      <c r="F17" s="4">
        <f>SUMIFS(E3:E12,B3:B12,"F",C3:C12,"New York")</f>
        <v>7034</v>
      </c>
    </row>
    <row r="18" spans="1:6" x14ac:dyDescent="0.25">
      <c r="A18" s="4" t="s">
        <v>25</v>
      </c>
      <c r="B18" s="8">
        <f>SUMIF(C3:C12,"Seattle",E3:E12)</f>
        <v>11890</v>
      </c>
      <c r="D18" s="3" t="s">
        <v>20</v>
      </c>
      <c r="E18" s="4">
        <f>SUMIFS(E3:E12,B3:B12,"M",C3:C12,"Chicago")</f>
        <v>5001</v>
      </c>
      <c r="F18" s="4">
        <f>SUMIFS(E3:E12,B3:B12,"F",C3:C12,"Chicago")</f>
        <v>53345</v>
      </c>
    </row>
    <row r="19" spans="1:6" x14ac:dyDescent="0.25">
      <c r="D19" s="3" t="s">
        <v>25</v>
      </c>
      <c r="E19" s="4">
        <f>SUMIFS(E3:E12,B3:B12,"M",C3:C12,"Seattle")</f>
        <v>0</v>
      </c>
      <c r="F19" s="4">
        <f>SUMIFS(E3:E12,B3:B12,"F",C3:C12,"Seattle")</f>
        <v>11890</v>
      </c>
    </row>
    <row r="20" spans="1:6" ht="45" x14ac:dyDescent="0.25">
      <c r="A20" s="10" t="s">
        <v>4</v>
      </c>
      <c r="B20" s="11" t="s">
        <v>28</v>
      </c>
    </row>
    <row r="21" spans="1:6" x14ac:dyDescent="0.25">
      <c r="A21" s="3" t="s">
        <v>21</v>
      </c>
      <c r="B21" s="12">
        <f>AVERAGEIF(D3:D12,"University",E3:E12)</f>
        <v>13745.5</v>
      </c>
    </row>
    <row r="22" spans="1:6" x14ac:dyDescent="0.25">
      <c r="A22" s="3" t="s">
        <v>23</v>
      </c>
      <c r="B22" s="12">
        <f>AVERAGEIF(D3:D12,"High School",E3:E12)</f>
        <v>2511.5</v>
      </c>
    </row>
    <row r="23" spans="1:6" x14ac:dyDescent="0.25">
      <c r="A23" s="2" t="s">
        <v>22</v>
      </c>
      <c r="B23" s="9">
        <f>AVERAGEIF(D3:D12,"None",E3:E12)</f>
        <v>236</v>
      </c>
    </row>
    <row r="25" spans="1:6" x14ac:dyDescent="0.25">
      <c r="A25" s="3" t="s">
        <v>2</v>
      </c>
      <c r="B25" s="3" t="s">
        <v>29</v>
      </c>
    </row>
    <row r="26" spans="1:6" x14ac:dyDescent="0.25">
      <c r="A26" s="4" t="s">
        <v>26</v>
      </c>
      <c r="B26" s="4">
        <f>COUNTIF(B3:B12,"M")</f>
        <v>4</v>
      </c>
    </row>
    <row r="27" spans="1:6" x14ac:dyDescent="0.25">
      <c r="A27" s="4" t="s">
        <v>27</v>
      </c>
      <c r="B27" s="4">
        <f>COUNTIF(B3:B12,"F")</f>
        <v>6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2023-11-22T08:49:37Z</dcterms:created>
  <dcterms:modified xsi:type="dcterms:W3CDTF">2023-11-22T09:50:51Z</dcterms:modified>
</cp:coreProperties>
</file>