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LAB tasks Pf\ICT Tasks\Lab 10\"/>
    </mc:Choice>
  </mc:AlternateContent>
  <bookViews>
    <workbookView xWindow="-120" yWindow="-120" windowWidth="20730" windowHeight="11160"/>
  </bookViews>
  <sheets>
    <sheet name="Task 1" sheetId="1" r:id="rId1"/>
    <sheet name="Task 2" sheetId="2" r:id="rId2"/>
    <sheet name="Task 3" sheetId="13" r:id="rId3"/>
    <sheet name="Task 4" sheetId="10" r:id="rId4"/>
    <sheet name="Task 5" sheetId="11" r:id="rId5"/>
    <sheet name="Sheet4" sheetId="17" r:id="rId6"/>
    <sheet name="Sheet6" sheetId="31" r:id="rId7"/>
    <sheet name="Task 6" sheetId="3" r:id="rId8"/>
    <sheet name="Sheet3" sheetId="21" r:id="rId9"/>
    <sheet name="Task 7" sheetId="7" r:id="rId10"/>
    <sheet name="Task 8" sheetId="4" r:id="rId11"/>
    <sheet name="DV Range" sheetId="5" r:id="rId12"/>
    <sheet name="Task 9" sheetId="8" r:id="rId13"/>
    <sheet name="Task 10" sheetId="9" r:id="rId14"/>
  </sheets>
  <definedNames>
    <definedName name="Hourly_Pay_Rate">'Task 8'!$B$18</definedName>
    <definedName name="Nat_Ins_Rate">'Task 8'!$B$19</definedName>
    <definedName name="Slicer_Franchiser">#N/A</definedName>
    <definedName name="Slicer_Month">#N/A</definedName>
    <definedName name="Slicer_Product">#N/A</definedName>
    <definedName name="Slicer_Region">#N/A</definedName>
    <definedName name="Tax_Rate">'Task 8'!$B$20</definedName>
  </definedNames>
  <calcPr calcId="162913"/>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9" l="1"/>
  <c r="E11" i="8"/>
  <c r="G4" i="7"/>
  <c r="C6" i="11"/>
  <c r="C7" i="11"/>
  <c r="C8" i="11"/>
  <c r="C9" i="11"/>
  <c r="C10" i="11"/>
  <c r="C11" i="11"/>
  <c r="C12" i="11"/>
  <c r="C13" i="11"/>
  <c r="C14" i="11"/>
  <c r="C15" i="11"/>
  <c r="C16" i="11"/>
  <c r="C17" i="11"/>
  <c r="C18" i="11"/>
  <c r="C19" i="11"/>
  <c r="C20" i="11"/>
  <c r="C21" i="11"/>
  <c r="C3" i="11"/>
  <c r="C4" i="11"/>
  <c r="C5" i="11"/>
  <c r="C2" i="11"/>
  <c r="C10" i="10"/>
  <c r="C11" i="10"/>
  <c r="C12" i="10"/>
  <c r="C9" i="10"/>
  <c r="E5" i="13"/>
  <c r="E6" i="13"/>
  <c r="E7" i="13"/>
  <c r="E8" i="13"/>
  <c r="E9" i="13"/>
  <c r="E10" i="13"/>
  <c r="E11" i="13"/>
  <c r="E12" i="13"/>
  <c r="E13" i="13"/>
  <c r="E14" i="13"/>
  <c r="E15" i="13"/>
  <c r="E16" i="13"/>
  <c r="E4" i="13"/>
  <c r="D5" i="9" l="1"/>
  <c r="C5" i="2"/>
  <c r="C6" i="2"/>
  <c r="C7" i="2"/>
  <c r="C8" i="2"/>
  <c r="C9" i="2"/>
  <c r="C10" i="2"/>
  <c r="C11" i="2"/>
  <c r="C12" i="2"/>
  <c r="C13" i="2"/>
  <c r="C4" i="2"/>
  <c r="D5" i="1"/>
  <c r="D6" i="1"/>
  <c r="D7" i="1"/>
  <c r="D8" i="1"/>
  <c r="D9" i="1"/>
  <c r="D10" i="1"/>
  <c r="D4" i="1"/>
  <c r="D16" i="4"/>
  <c r="B16" i="13"/>
  <c r="F15" i="13"/>
  <c r="C16" i="13"/>
  <c r="D15" i="13"/>
  <c r="D14" i="13"/>
  <c r="F14" i="13" s="1"/>
  <c r="D13" i="13"/>
  <c r="F13" i="13" s="1"/>
  <c r="D12" i="13"/>
  <c r="D11" i="13"/>
  <c r="D10" i="13"/>
  <c r="F10" i="13" s="1"/>
  <c r="D9" i="13"/>
  <c r="F9" i="13" s="1"/>
  <c r="D8" i="13"/>
  <c r="D7" i="13"/>
  <c r="D6" i="13"/>
  <c r="F6" i="13" s="1"/>
  <c r="D5" i="13"/>
  <c r="F5" i="13" s="1"/>
  <c r="D4" i="13"/>
  <c r="F4" i="13" s="1"/>
  <c r="F7" i="13" l="1"/>
  <c r="F11" i="13"/>
  <c r="F8" i="13"/>
  <c r="F12" i="13"/>
  <c r="E10" i="8"/>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F16" i="13" l="1"/>
  <c r="H15" i="4"/>
  <c r="G15" i="4"/>
  <c r="E15" i="4"/>
  <c r="H14" i="4"/>
  <c r="G14" i="4"/>
  <c r="E14" i="4"/>
  <c r="H13" i="4"/>
  <c r="G13" i="4"/>
  <c r="E13" i="4"/>
  <c r="H12" i="4"/>
  <c r="G12" i="4"/>
  <c r="E12" i="4"/>
  <c r="H11" i="4"/>
  <c r="G11" i="4"/>
  <c r="E11" i="4"/>
  <c r="H10" i="4"/>
  <c r="G10" i="4"/>
  <c r="E10" i="4"/>
  <c r="H9" i="4"/>
  <c r="G9" i="4"/>
  <c r="E9" i="4"/>
  <c r="H8" i="4"/>
  <c r="G8" i="4"/>
  <c r="E8" i="4"/>
  <c r="H7" i="4"/>
  <c r="G7" i="4"/>
  <c r="E7" i="4"/>
  <c r="H6" i="4"/>
  <c r="G6" i="4"/>
  <c r="E6" i="4"/>
  <c r="H5" i="4"/>
  <c r="G5" i="4"/>
  <c r="E5" i="4"/>
  <c r="H4" i="4"/>
  <c r="G4" i="4"/>
  <c r="E4" i="4"/>
  <c r="I9" i="4" l="1"/>
  <c r="I5" i="4"/>
  <c r="I13" i="4"/>
  <c r="H16" i="4"/>
  <c r="I6" i="4"/>
  <c r="I10" i="4"/>
  <c r="I14" i="4"/>
  <c r="G16" i="4"/>
  <c r="I7" i="4"/>
  <c r="I11" i="4"/>
  <c r="E16" i="4"/>
  <c r="I8" i="4"/>
  <c r="I12" i="4"/>
  <c r="I15" i="4"/>
  <c r="I4" i="4"/>
  <c r="I16" i="4" l="1"/>
</calcChain>
</file>

<file path=xl/sharedStrings.xml><?xml version="1.0" encoding="utf-8"?>
<sst xmlns="http://schemas.openxmlformats.org/spreadsheetml/2006/main" count="652" uniqueCount="346">
  <si>
    <t>Name</t>
  </si>
  <si>
    <t>Target</t>
  </si>
  <si>
    <t>Achieved</t>
  </si>
  <si>
    <t>Percentage</t>
  </si>
  <si>
    <t>Muhammad Ahmed</t>
  </si>
  <si>
    <t>Abdullah</t>
  </si>
  <si>
    <t>Esha</t>
  </si>
  <si>
    <t>John</t>
  </si>
  <si>
    <t>Priya</t>
  </si>
  <si>
    <t>Marry</t>
  </si>
  <si>
    <t>Carol Service</t>
  </si>
  <si>
    <t>Sales Reps - Annual Summary</t>
  </si>
  <si>
    <t>Wise Owl Travel Agents</t>
  </si>
  <si>
    <t>Country</t>
  </si>
  <si>
    <t>Resort Name</t>
  </si>
  <si>
    <t>No of Days</t>
  </si>
  <si>
    <t>Travel Method</t>
  </si>
  <si>
    <t>Price</t>
  </si>
  <si>
    <t>Holiday ID</t>
  </si>
  <si>
    <t>Australia</t>
  </si>
  <si>
    <t>Great Barrier Reef</t>
  </si>
  <si>
    <t>Plane</t>
  </si>
  <si>
    <t>I990AUS</t>
  </si>
  <si>
    <t>Perth</t>
  </si>
  <si>
    <t>AUS112J</t>
  </si>
  <si>
    <t>Chile</t>
  </si>
  <si>
    <t>Santiago</t>
  </si>
  <si>
    <t>CH266H</t>
  </si>
  <si>
    <t>England</t>
  </si>
  <si>
    <t>London</t>
  </si>
  <si>
    <t>Train</t>
  </si>
  <si>
    <t>I456UK</t>
  </si>
  <si>
    <t>Bognor</t>
  </si>
  <si>
    <t>Coach</t>
  </si>
  <si>
    <t>BG726H</t>
  </si>
  <si>
    <t>France</t>
  </si>
  <si>
    <t>Lyon</t>
  </si>
  <si>
    <t>A7995FR</t>
  </si>
  <si>
    <t>Paris - Euro Disney</t>
  </si>
  <si>
    <t>TH789FR</t>
  </si>
  <si>
    <t>TH788FR</t>
  </si>
  <si>
    <t>Nice</t>
  </si>
  <si>
    <t>I7897FR</t>
  </si>
  <si>
    <t>Toulouse</t>
  </si>
  <si>
    <t>SG7637L</t>
  </si>
  <si>
    <t>Nimes</t>
  </si>
  <si>
    <t>FR5625J</t>
  </si>
  <si>
    <t>Germany</t>
  </si>
  <si>
    <t>Black Forest</t>
  </si>
  <si>
    <t>A111G</t>
  </si>
  <si>
    <t>Berlin</t>
  </si>
  <si>
    <t>BR6736G</t>
  </si>
  <si>
    <t>Peru</t>
  </si>
  <si>
    <t>Lima</t>
  </si>
  <si>
    <t>PG7836G</t>
  </si>
  <si>
    <t>Saudi Arabia</t>
  </si>
  <si>
    <t>Riyadh</t>
  </si>
  <si>
    <t>KSA8987</t>
  </si>
  <si>
    <t>Spain</t>
  </si>
  <si>
    <t>Barcelona</t>
  </si>
  <si>
    <t>I6675SP</t>
  </si>
  <si>
    <t>Nerja</t>
  </si>
  <si>
    <t>TH990ESP</t>
  </si>
  <si>
    <t>Malaga</t>
  </si>
  <si>
    <t>A776ESP</t>
  </si>
  <si>
    <t>Seville</t>
  </si>
  <si>
    <t>NM9876Y</t>
  </si>
  <si>
    <t>TH8956SP</t>
  </si>
  <si>
    <t>AJ9836L</t>
  </si>
  <si>
    <t>GG9836P</t>
  </si>
  <si>
    <t>PL8726P</t>
  </si>
  <si>
    <t>SV767HH</t>
  </si>
  <si>
    <t>Madrid</t>
  </si>
  <si>
    <t>WE6735L</t>
  </si>
  <si>
    <t>Granada</t>
  </si>
  <si>
    <t>GR7878G</t>
  </si>
  <si>
    <t>Trinidad</t>
  </si>
  <si>
    <t>Port of Spain</t>
  </si>
  <si>
    <t>TT67624G</t>
  </si>
  <si>
    <t>Car Parking Charges</t>
  </si>
  <si>
    <t>Car Reg</t>
  </si>
  <si>
    <t>No Hours Parked</t>
  </si>
  <si>
    <t>Parking Charge</t>
  </si>
  <si>
    <t xml:space="preserve">If park &gt;8 hours pay £1 pr hr </t>
  </si>
  <si>
    <t>DA12 NEJ</t>
  </si>
  <si>
    <t xml:space="preserve">If park &gt;5 hours pay £1.50 pr hr </t>
  </si>
  <si>
    <t>MA16 BVW</t>
  </si>
  <si>
    <t>Anything less "Free Parking"</t>
  </si>
  <si>
    <t>DD11 SFD</t>
  </si>
  <si>
    <t>MA14 NHG</t>
  </si>
  <si>
    <t>Threshold1</t>
  </si>
  <si>
    <t>YK14 BHH</t>
  </si>
  <si>
    <t>Threshold2</t>
  </si>
  <si>
    <t>DY15 FLB</t>
  </si>
  <si>
    <t>Long Hour Fee</t>
  </si>
  <si>
    <t>MM12 SWL</t>
  </si>
  <si>
    <t>Med Hour Fee</t>
  </si>
  <si>
    <t>MA16 GKW</t>
  </si>
  <si>
    <t>FS12 DSD</t>
  </si>
  <si>
    <t>DA11 SBM</t>
  </si>
  <si>
    <t>Pesko Part-time Workers Weekly Pay</t>
  </si>
  <si>
    <t>Staff ID</t>
  </si>
  <si>
    <t>Surname</t>
  </si>
  <si>
    <t>Initial</t>
  </si>
  <si>
    <t>Hours Worked</t>
  </si>
  <si>
    <t>Pay</t>
  </si>
  <si>
    <t>Department</t>
  </si>
  <si>
    <t>Nat Ins</t>
  </si>
  <si>
    <t>Tax</t>
  </si>
  <si>
    <t>Final Pay</t>
  </si>
  <si>
    <t>M/141</t>
  </si>
  <si>
    <t>Abbot</t>
  </si>
  <si>
    <t>R</t>
  </si>
  <si>
    <t>M/289</t>
  </si>
  <si>
    <t>Arlington</t>
  </si>
  <si>
    <t>T</t>
  </si>
  <si>
    <t>F/112</t>
  </si>
  <si>
    <t>Brown</t>
  </si>
  <si>
    <t>F/219</t>
  </si>
  <si>
    <t>Davies</t>
  </si>
  <si>
    <t>F</t>
  </si>
  <si>
    <t>F/881</t>
  </si>
  <si>
    <t>Davis</t>
  </si>
  <si>
    <t>G</t>
  </si>
  <si>
    <t>M/448</t>
  </si>
  <si>
    <t>W</t>
  </si>
  <si>
    <t>F/66</t>
  </si>
  <si>
    <t>Fox</t>
  </si>
  <si>
    <t>S</t>
  </si>
  <si>
    <t>M/557</t>
  </si>
  <si>
    <t>Kelsey</t>
  </si>
  <si>
    <t>A</t>
  </si>
  <si>
    <t>M/44</t>
  </si>
  <si>
    <t>Marsh</t>
  </si>
  <si>
    <t>H</t>
  </si>
  <si>
    <t>M/191</t>
  </si>
  <si>
    <t>Oliver</t>
  </si>
  <si>
    <t>M/352</t>
  </si>
  <si>
    <t>Potts</t>
  </si>
  <si>
    <t>B</t>
  </si>
  <si>
    <t>F/336</t>
  </si>
  <si>
    <t>Taylor</t>
  </si>
  <si>
    <t>M</t>
  </si>
  <si>
    <t>TOTAL</t>
  </si>
  <si>
    <t>Hourly Pay Rate</t>
  </si>
  <si>
    <t>Nat Ins Rate</t>
  </si>
  <si>
    <t>Tax Rate</t>
  </si>
  <si>
    <t>Department Names</t>
  </si>
  <si>
    <t>Accounts</t>
  </si>
  <si>
    <t>Admin</t>
  </si>
  <si>
    <t>HR</t>
  </si>
  <si>
    <t>IT</t>
  </si>
  <si>
    <t>Marketing</t>
  </si>
  <si>
    <t>Sales</t>
  </si>
  <si>
    <t>Web Sales</t>
  </si>
  <si>
    <t>Sale of Bikes in January and February</t>
  </si>
  <si>
    <t>Franchiser</t>
  </si>
  <si>
    <t>Region</t>
  </si>
  <si>
    <t>Month</t>
  </si>
  <si>
    <t>Product</t>
  </si>
  <si>
    <t>Unit Price</t>
  </si>
  <si>
    <t>Number of Units Sold</t>
  </si>
  <si>
    <t>Total Sale</t>
  </si>
  <si>
    <t>ABC Tading</t>
  </si>
  <si>
    <t>South</t>
  </si>
  <si>
    <t>January</t>
  </si>
  <si>
    <t>CD-70</t>
  </si>
  <si>
    <t>CG-125</t>
  </si>
  <si>
    <t>February</t>
  </si>
  <si>
    <t>NZB Tading</t>
  </si>
  <si>
    <t>Central</t>
  </si>
  <si>
    <t>XYZ Tading</t>
  </si>
  <si>
    <t>North</t>
  </si>
  <si>
    <t>Employee ID</t>
  </si>
  <si>
    <t>Sales Region</t>
  </si>
  <si>
    <t>Region Code</t>
  </si>
  <si>
    <t>New Customers</t>
  </si>
  <si>
    <t>Commission</t>
  </si>
  <si>
    <t>Hugh Jackman</t>
  </si>
  <si>
    <t>East</t>
  </si>
  <si>
    <t>Brad Pitt</t>
  </si>
  <si>
    <t>West</t>
  </si>
  <si>
    <t>Scarlett Johansson</t>
  </si>
  <si>
    <t>Raymond Reddington</t>
  </si>
  <si>
    <t>Elizabeth Keen</t>
  </si>
  <si>
    <t>Idris Elba</t>
  </si>
  <si>
    <t>Below is the list of top 30 countries in the world by Population.</t>
  </si>
  <si>
    <t>Answer the following questions:</t>
  </si>
  <si>
    <t>What is the total population of people living in Europe and using EUR as their currency?</t>
  </si>
  <si>
    <t>What is the total population of people living in Asia in countries that have a GDP (Billions) &gt; 1,000?</t>
  </si>
  <si>
    <t>Continent</t>
  </si>
  <si>
    <t>Official/Primary Language</t>
  </si>
  <si>
    <t>Population</t>
  </si>
  <si>
    <t>Area (Square KM)</t>
  </si>
  <si>
    <t>China</t>
  </si>
  <si>
    <t>Asia</t>
  </si>
  <si>
    <t>Standard Chinese</t>
  </si>
  <si>
    <t>India</t>
  </si>
  <si>
    <t>Hindi</t>
  </si>
  <si>
    <t>United States</t>
  </si>
  <si>
    <t>North America</t>
  </si>
  <si>
    <t>English</t>
  </si>
  <si>
    <t>Indonesia</t>
  </si>
  <si>
    <t>Indonesian</t>
  </si>
  <si>
    <t>Pakistan</t>
  </si>
  <si>
    <t>Urdu</t>
  </si>
  <si>
    <t>Brazil</t>
  </si>
  <si>
    <t>South America</t>
  </si>
  <si>
    <t>Portuguese</t>
  </si>
  <si>
    <t>Nigeria</t>
  </si>
  <si>
    <t>Africa</t>
  </si>
  <si>
    <t>Bangladesh</t>
  </si>
  <si>
    <t>Bengali</t>
  </si>
  <si>
    <t>Russia</t>
  </si>
  <si>
    <t>Europe</t>
  </si>
  <si>
    <t>Russian</t>
  </si>
  <si>
    <t>Mexico</t>
  </si>
  <si>
    <t>Spanish</t>
  </si>
  <si>
    <t>Japan</t>
  </si>
  <si>
    <t>Japanese</t>
  </si>
  <si>
    <t>Ethiopia</t>
  </si>
  <si>
    <t>Amharic</t>
  </si>
  <si>
    <t>Philippines</t>
  </si>
  <si>
    <t>Tagalog</t>
  </si>
  <si>
    <t>Egypt</t>
  </si>
  <si>
    <t>Modern Standard Arabic</t>
  </si>
  <si>
    <t>Vietnam</t>
  </si>
  <si>
    <t>Vietnamese</t>
  </si>
  <si>
    <t>Democratic Republic of the Congo</t>
  </si>
  <si>
    <t>French</t>
  </si>
  <si>
    <t>Iran</t>
  </si>
  <si>
    <t>Persian</t>
  </si>
  <si>
    <t>Turkey</t>
  </si>
  <si>
    <t>Turkish</t>
  </si>
  <si>
    <t>German</t>
  </si>
  <si>
    <t>United Kingdom</t>
  </si>
  <si>
    <t>Thailand</t>
  </si>
  <si>
    <t>Thai</t>
  </si>
  <si>
    <t>South Africa</t>
  </si>
  <si>
    <t>Zulu</t>
  </si>
  <si>
    <t>Tanzania</t>
  </si>
  <si>
    <t>Swahili</t>
  </si>
  <si>
    <t>Italy</t>
  </si>
  <si>
    <t>Italian</t>
  </si>
  <si>
    <t>Myanmar</t>
  </si>
  <si>
    <t>Burmese</t>
  </si>
  <si>
    <t>South Korea</t>
  </si>
  <si>
    <t>Korean</t>
  </si>
  <si>
    <t>Colombia</t>
  </si>
  <si>
    <t>Kenya</t>
  </si>
  <si>
    <t>Kiswahili</t>
  </si>
  <si>
    <t xml:space="preserve">Currency </t>
  </si>
  <si>
    <t>GDP (Billions)</t>
  </si>
  <si>
    <t>CNY</t>
  </si>
  <si>
    <t>INR</t>
  </si>
  <si>
    <t>USD</t>
  </si>
  <si>
    <t>IDR</t>
  </si>
  <si>
    <t>PKR</t>
  </si>
  <si>
    <t>BRL</t>
  </si>
  <si>
    <t>NGN</t>
  </si>
  <si>
    <t>BDT</t>
  </si>
  <si>
    <t>RUB</t>
  </si>
  <si>
    <t>MXN</t>
  </si>
  <si>
    <t>JPY</t>
  </si>
  <si>
    <t>ETB</t>
  </si>
  <si>
    <t>PHP</t>
  </si>
  <si>
    <t>EGP</t>
  </si>
  <si>
    <t>VND</t>
  </si>
  <si>
    <t>CDF</t>
  </si>
  <si>
    <t>IRR</t>
  </si>
  <si>
    <t>TRY</t>
  </si>
  <si>
    <t>EUR</t>
  </si>
  <si>
    <t>GBP</t>
  </si>
  <si>
    <t>THB</t>
  </si>
  <si>
    <t>ZAR</t>
  </si>
  <si>
    <t>TSH</t>
  </si>
  <si>
    <t>MMK</t>
  </si>
  <si>
    <t>KRW</t>
  </si>
  <si>
    <t>COP</t>
  </si>
  <si>
    <t>KES</t>
  </si>
  <si>
    <t>The school decided to use the following grade system:</t>
  </si>
  <si>
    <t>Grade higher or equal to 80 - Excellent</t>
  </si>
  <si>
    <t>Grade higher or equal to 60 but lower than 80 - Good</t>
  </si>
  <si>
    <t>Grade lower than 60 - Failed</t>
  </si>
  <si>
    <t>Complete the following:</t>
  </si>
  <si>
    <t>Student name</t>
  </si>
  <si>
    <t>Grade</t>
  </si>
  <si>
    <t>Failed/Good/Excellent</t>
  </si>
  <si>
    <t>Sarah</t>
  </si>
  <si>
    <t>Michael</t>
  </si>
  <si>
    <t>Deborah</t>
  </si>
  <si>
    <t>Sales Rep</t>
  </si>
  <si>
    <t>Ryan</t>
  </si>
  <si>
    <t>Jacob</t>
  </si>
  <si>
    <t>Anderson</t>
  </si>
  <si>
    <t>Emily</t>
  </si>
  <si>
    <t>Richard</t>
  </si>
  <si>
    <t>Kevin</t>
  </si>
  <si>
    <t>Rachel</t>
  </si>
  <si>
    <t>Jenna</t>
  </si>
  <si>
    <t>Monica</t>
  </si>
  <si>
    <t>Chandler</t>
  </si>
  <si>
    <t>Phoebe</t>
  </si>
  <si>
    <t>Gordon</t>
  </si>
  <si>
    <t>Joey</t>
  </si>
  <si>
    <t>Johnson</t>
  </si>
  <si>
    <t>Kristen</t>
  </si>
  <si>
    <t>Patrick</t>
  </si>
  <si>
    <t>David</t>
  </si>
  <si>
    <t>Adam</t>
  </si>
  <si>
    <t>Bell</t>
  </si>
  <si>
    <t>Nathalia</t>
  </si>
  <si>
    <t>Cheeky Charlie's School Tuckbox Sales - Class 4A Sales</t>
  </si>
  <si>
    <t>Item</t>
  </si>
  <si>
    <t>Quantity</t>
  </si>
  <si>
    <t>Cost Before Discount</t>
  </si>
  <si>
    <t>Bulk Buy Discount</t>
  </si>
  <si>
    <t>Class Cost</t>
  </si>
  <si>
    <t>Mars Bars</t>
  </si>
  <si>
    <t>Discounts for Bulk Buy</t>
  </si>
  <si>
    <t>Twix</t>
  </si>
  <si>
    <t>Bounty Bar</t>
  </si>
  <si>
    <t>If buy &gt;= 20</t>
  </si>
  <si>
    <t>get 10% discount</t>
  </si>
  <si>
    <t>Gazillions Tub</t>
  </si>
  <si>
    <t>If buy &gt;=10</t>
  </si>
  <si>
    <t>get 5% discount</t>
  </si>
  <si>
    <t>Maltesers</t>
  </si>
  <si>
    <t>Anhything less</t>
  </si>
  <si>
    <t>no discount</t>
  </si>
  <si>
    <t>Walkers Crisps</t>
  </si>
  <si>
    <t>Salted Peanuts</t>
  </si>
  <si>
    <t>Chewing Gum</t>
  </si>
  <si>
    <t>Nutella Bar</t>
  </si>
  <si>
    <t>High Discount</t>
  </si>
  <si>
    <t>Polo Mints</t>
  </si>
  <si>
    <t>Low Discount</t>
  </si>
  <si>
    <t>Muesli Bar</t>
  </si>
  <si>
    <t>Maths Test Answers</t>
  </si>
  <si>
    <t>CLASS TOTALS</t>
  </si>
  <si>
    <t>Row Labels</t>
  </si>
  <si>
    <t>Grand Total</t>
  </si>
  <si>
    <t>Column Labels</t>
  </si>
  <si>
    <t>Sum of Number of Units Sold</t>
  </si>
  <si>
    <t>Average of Price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</si>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</sst>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_);[Red]\(&quot;$&quot;#,##0\)"/>
    <numFmt numFmtId="43" formatCode="_(* #,##0.00_);_(* \(#,##0.00\);_(* &quot;-&quot;??_);_(@_)"/>
    <numFmt numFmtId="164" formatCode="&quot;£&quot;#,##0;[Red]\-&quot;£&quot;#,##0"/>
    <numFmt numFmtId="165" formatCode="&quot;£&quot;#,##0.00"/>
  </numFmts>
  <fonts count="19" x14ac:knownFonts="1">
    <font>
      <sz val="11"/>
      <color theme="1"/>
      <name val="Calibri"/>
      <family val="2"/>
      <scheme val="minor"/>
    </font>
    <font>
      <b/>
      <sz val="11"/>
      <color theme="1"/>
      <name val="Calibri"/>
      <family val="2"/>
      <scheme val="minor"/>
    </font>
    <font>
      <sz val="10"/>
      <name val="Arial"/>
      <family val="2"/>
    </font>
    <font>
      <b/>
      <sz val="12"/>
      <name val="Arial"/>
      <family val="2"/>
    </font>
    <font>
      <sz val="10"/>
      <name val="Brush Script MT"/>
      <family val="4"/>
    </font>
    <font>
      <b/>
      <sz val="10"/>
      <name val="Arial"/>
      <family val="2"/>
    </font>
    <font>
      <b/>
      <u/>
      <sz val="14"/>
      <color rgb="FFFF0000"/>
      <name val="Calibri"/>
      <family val="2"/>
      <scheme val="minor"/>
    </font>
    <font>
      <sz val="11"/>
      <color theme="1"/>
      <name val="Calibri"/>
      <family val="2"/>
      <scheme val="minor"/>
    </font>
    <font>
      <b/>
      <u/>
      <sz val="16"/>
      <color theme="1"/>
      <name val="Calibri"/>
      <family val="2"/>
      <scheme val="minor"/>
    </font>
    <font>
      <b/>
      <i/>
      <sz val="9"/>
      <color theme="1"/>
      <name val="Calibri"/>
      <family val="2"/>
      <scheme val="minor"/>
    </font>
    <font>
      <b/>
      <i/>
      <sz val="11"/>
      <color theme="1"/>
      <name val="Calibri"/>
      <family val="2"/>
      <scheme val="minor"/>
    </font>
    <font>
      <sz val="11"/>
      <color rgb="FF000000"/>
      <name val="Segoe UI"/>
      <family val="2"/>
    </font>
    <font>
      <b/>
      <sz val="11"/>
      <color rgb="FF000000"/>
      <name val="Segoe UI"/>
      <family val="2"/>
    </font>
    <font>
      <sz val="11"/>
      <color rgb="FF000000"/>
      <name val="Calibri"/>
      <family val="2"/>
      <scheme val="minor"/>
    </font>
    <font>
      <b/>
      <sz val="11"/>
      <color rgb="FF000000"/>
      <name val="Calibri"/>
      <family val="2"/>
      <scheme val="minor"/>
    </font>
    <font>
      <sz val="11"/>
      <color rgb="FF000000"/>
      <name val="Calibri"/>
      <family val="2"/>
      <charset val="177"/>
      <scheme val="minor"/>
    </font>
    <font>
      <b/>
      <sz val="14"/>
      <color theme="1"/>
      <name val="Calibri"/>
      <family val="2"/>
      <scheme val="minor"/>
    </font>
    <font>
      <sz val="12"/>
      <color theme="1"/>
      <name val="Calibri"/>
      <family val="2"/>
      <scheme val="minor"/>
    </font>
    <font>
      <b/>
      <u/>
      <sz val="14"/>
      <color theme="1"/>
      <name val="Calibri"/>
      <family val="2"/>
      <scheme val="minor"/>
    </font>
  </fonts>
  <fills count="10">
    <fill>
      <patternFill patternType="none"/>
    </fill>
    <fill>
      <patternFill patternType="gray125"/>
    </fill>
    <fill>
      <patternFill patternType="solid">
        <fgColor indexed="2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rgb="FF000000"/>
      </patternFill>
    </fill>
    <fill>
      <patternFill patternType="solid">
        <fgColor rgb="FFD6DCE4"/>
        <bgColor rgb="FF000000"/>
      </patternFill>
    </fill>
    <fill>
      <patternFill patternType="solid">
        <fgColor rgb="FFECFFCC"/>
        <bgColor indexed="64"/>
      </patternFill>
    </fill>
    <fill>
      <patternFill patternType="solid">
        <fgColor theme="7"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s>
  <cellStyleXfs count="4">
    <xf numFmtId="0" fontId="0" fillId="0" borderId="0"/>
    <xf numFmtId="0" fontId="2" fillId="0" borderId="0"/>
    <xf numFmtId="43" fontId="7" fillId="0" borderId="0" applyFont="0" applyFill="0" applyBorder="0" applyAlignment="0" applyProtection="0"/>
    <xf numFmtId="9" fontId="7" fillId="0" borderId="0" applyFont="0" applyFill="0" applyBorder="0" applyAlignment="0" applyProtection="0"/>
  </cellStyleXfs>
  <cellXfs count="94">
    <xf numFmtId="0" fontId="0" fillId="0" borderId="0" xfId="0"/>
    <xf numFmtId="0" fontId="0" fillId="0" borderId="0" xfId="0" applyAlignment="1">
      <alignment horizontal="center"/>
    </xf>
    <xf numFmtId="0" fontId="1" fillId="0" borderId="0" xfId="0" applyFont="1"/>
    <xf numFmtId="0" fontId="3" fillId="0" borderId="0" xfId="1" applyFont="1" applyAlignment="1">
      <alignment horizontal="centerContinuous"/>
    </xf>
    <xf numFmtId="0" fontId="4" fillId="0" borderId="0" xfId="1" applyFont="1" applyAlignment="1">
      <alignment horizontal="centerContinuous"/>
    </xf>
    <xf numFmtId="0" fontId="2" fillId="0" borderId="0" xfId="1"/>
    <xf numFmtId="0" fontId="5" fillId="2" borderId="1" xfId="1" applyFont="1" applyFill="1" applyBorder="1" applyAlignment="1">
      <alignment horizontal="center"/>
    </xf>
    <xf numFmtId="0" fontId="2" fillId="0" borderId="1" xfId="1" applyBorder="1" applyAlignment="1">
      <alignment horizontal="center"/>
    </xf>
    <xf numFmtId="164" fontId="2" fillId="0" borderId="1" xfId="1" applyNumberFormat="1" applyBorder="1" applyAlignment="1">
      <alignment horizontal="center"/>
    </xf>
    <xf numFmtId="0" fontId="6" fillId="0" borderId="0" xfId="0" applyFont="1"/>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right" vertical="center" wrapText="1"/>
    </xf>
    <xf numFmtId="0" fontId="0" fillId="0" borderId="1" xfId="0" applyBorder="1"/>
    <xf numFmtId="0" fontId="0" fillId="0" borderId="1" xfId="0" applyBorder="1" applyAlignment="1">
      <alignment horizontal="center"/>
    </xf>
    <xf numFmtId="165" fontId="0" fillId="0" borderId="1" xfId="0" applyNumberFormat="1" applyBorder="1"/>
    <xf numFmtId="0" fontId="1" fillId="4" borderId="1" xfId="0" applyFont="1" applyFill="1" applyBorder="1"/>
    <xf numFmtId="165" fontId="1" fillId="4" borderId="1" xfId="0" applyNumberFormat="1" applyFont="1" applyFill="1" applyBorder="1"/>
    <xf numFmtId="0" fontId="8" fillId="0" borderId="0" xfId="0" applyFont="1"/>
    <xf numFmtId="0" fontId="9"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right" vertical="center" wrapText="1"/>
    </xf>
    <xf numFmtId="0" fontId="0" fillId="0" borderId="0" xfId="0" applyAlignment="1">
      <alignment vertical="center" wrapText="1"/>
    </xf>
    <xf numFmtId="165" fontId="0" fillId="0" borderId="2" xfId="0" applyNumberFormat="1" applyBorder="1"/>
    <xf numFmtId="0" fontId="1" fillId="5" borderId="1" xfId="0" applyFont="1" applyFill="1" applyBorder="1"/>
    <xf numFmtId="0" fontId="1" fillId="0" borderId="1" xfId="0" applyFont="1" applyBorder="1"/>
    <xf numFmtId="0" fontId="1" fillId="0" borderId="1" xfId="0" applyFont="1" applyBorder="1" applyAlignment="1">
      <alignment horizontal="center"/>
    </xf>
    <xf numFmtId="165" fontId="1" fillId="5" borderId="1" xfId="0" applyNumberFormat="1" applyFont="1" applyFill="1" applyBorder="1"/>
    <xf numFmtId="0" fontId="0" fillId="4" borderId="1" xfId="0" applyFill="1" applyBorder="1"/>
    <xf numFmtId="9" fontId="0" fillId="4" borderId="1" xfId="0" applyNumberFormat="1" applyFill="1" applyBorder="1"/>
    <xf numFmtId="0" fontId="10" fillId="0" borderId="0" xfId="0" applyFont="1"/>
    <xf numFmtId="0" fontId="0" fillId="3" borderId="1" xfId="0" applyFill="1" applyBorder="1"/>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0" fillId="0" borderId="6" xfId="0" applyBorder="1"/>
    <xf numFmtId="0" fontId="0" fillId="0" borderId="2" xfId="0" applyBorder="1"/>
    <xf numFmtId="3" fontId="0" fillId="0" borderId="2" xfId="0" applyNumberFormat="1" applyBorder="1"/>
    <xf numFmtId="43" fontId="0" fillId="0" borderId="7" xfId="2" applyFont="1" applyBorder="1"/>
    <xf numFmtId="0" fontId="0" fillId="0" borderId="8" xfId="0" applyBorder="1"/>
    <xf numFmtId="3" fontId="0" fillId="0" borderId="1" xfId="0" applyNumberFormat="1" applyBorder="1"/>
    <xf numFmtId="43" fontId="0" fillId="0" borderId="9" xfId="2" applyFont="1" applyBorder="1"/>
    <xf numFmtId="0" fontId="0" fillId="0" borderId="10" xfId="0" applyBorder="1"/>
    <xf numFmtId="0" fontId="0" fillId="0" borderId="11" xfId="0" applyBorder="1"/>
    <xf numFmtId="3" fontId="0" fillId="0" borderId="11" xfId="0" applyNumberFormat="1" applyBorder="1"/>
    <xf numFmtId="43" fontId="0" fillId="0" borderId="12" xfId="2" applyFont="1" applyBorder="1"/>
    <xf numFmtId="0" fontId="12" fillId="0" borderId="13" xfId="0" applyFont="1" applyBorder="1" applyAlignment="1">
      <alignment horizontal="center" wrapText="1"/>
    </xf>
    <xf numFmtId="0" fontId="11" fillId="0" borderId="13" xfId="0" applyFont="1" applyBorder="1" applyAlignment="1">
      <alignment horizontal="center" wrapText="1"/>
    </xf>
    <xf numFmtId="6" fontId="11" fillId="0" borderId="13" xfId="0" applyNumberFormat="1" applyFont="1" applyBorder="1" applyAlignment="1">
      <alignment horizontal="center" wrapText="1"/>
    </xf>
    <xf numFmtId="0" fontId="0" fillId="0" borderId="14" xfId="0" applyBorder="1"/>
    <xf numFmtId="0" fontId="11" fillId="0" borderId="13" xfId="0" applyFont="1" applyBorder="1" applyAlignment="1">
      <alignment horizontal="center"/>
    </xf>
    <xf numFmtId="0" fontId="13" fillId="0" borderId="0" xfId="0" applyFont="1"/>
    <xf numFmtId="0" fontId="13" fillId="6" borderId="0" xfId="0" applyFont="1" applyFill="1"/>
    <xf numFmtId="0" fontId="14" fillId="7" borderId="15" xfId="0" applyFont="1" applyFill="1" applyBorder="1" applyAlignment="1">
      <alignment wrapText="1"/>
    </xf>
    <xf numFmtId="0" fontId="14" fillId="7" borderId="16" xfId="0" applyFont="1" applyFill="1" applyBorder="1" applyAlignment="1">
      <alignment wrapText="1"/>
    </xf>
    <xf numFmtId="0" fontId="14" fillId="7" borderId="16" xfId="0" applyFont="1" applyFill="1" applyBorder="1"/>
    <xf numFmtId="0" fontId="13" fillId="0" borderId="17" xfId="0" applyFont="1" applyBorder="1" applyAlignment="1">
      <alignment wrapText="1"/>
    </xf>
    <xf numFmtId="0" fontId="13" fillId="0" borderId="13" xfId="0" applyFont="1" applyBorder="1" applyAlignment="1">
      <alignment wrapText="1"/>
    </xf>
    <xf numFmtId="0" fontId="13" fillId="0" borderId="19" xfId="0" applyFont="1" applyBorder="1" applyAlignment="1">
      <alignment wrapText="1"/>
    </xf>
    <xf numFmtId="0" fontId="14" fillId="7" borderId="20" xfId="0" applyFont="1" applyFill="1" applyBorder="1"/>
    <xf numFmtId="3" fontId="13" fillId="0" borderId="21" xfId="0" applyNumberFormat="1" applyFont="1" applyBorder="1"/>
    <xf numFmtId="0" fontId="13" fillId="0" borderId="21" xfId="0" applyFont="1" applyBorder="1"/>
    <xf numFmtId="3" fontId="13" fillId="0" borderId="22" xfId="0" applyNumberFormat="1" applyFont="1" applyBorder="1"/>
    <xf numFmtId="0" fontId="14" fillId="7" borderId="23" xfId="0" applyFont="1" applyFill="1" applyBorder="1"/>
    <xf numFmtId="0" fontId="13" fillId="0" borderId="24" xfId="0" applyFont="1" applyBorder="1"/>
    <xf numFmtId="0" fontId="13" fillId="0" borderId="25" xfId="0" applyFont="1" applyBorder="1"/>
    <xf numFmtId="0" fontId="14" fillId="7" borderId="1" xfId="0" applyFont="1" applyFill="1" applyBorder="1"/>
    <xf numFmtId="3" fontId="13" fillId="0" borderId="1" xfId="0" applyNumberFormat="1" applyFont="1" applyBorder="1"/>
    <xf numFmtId="0" fontId="13" fillId="0" borderId="26" xfId="0" applyFont="1" applyBorder="1"/>
    <xf numFmtId="0" fontId="13" fillId="0" borderId="27" xfId="0" applyFont="1" applyBorder="1"/>
    <xf numFmtId="0" fontId="14" fillId="7" borderId="28" xfId="0" applyFont="1" applyFill="1" applyBorder="1"/>
    <xf numFmtId="0" fontId="13" fillId="0" borderId="17" xfId="0" applyFont="1" applyBorder="1"/>
    <xf numFmtId="0" fontId="13" fillId="0" borderId="18" xfId="0" applyFont="1" applyBorder="1"/>
    <xf numFmtId="0" fontId="15" fillId="0" borderId="0" xfId="0" applyFont="1"/>
    <xf numFmtId="0" fontId="14" fillId="0" borderId="1" xfId="0" applyFont="1" applyBorder="1"/>
    <xf numFmtId="0" fontId="15" fillId="0" borderId="1" xfId="0" applyFont="1" applyBorder="1"/>
    <xf numFmtId="0" fontId="15" fillId="6" borderId="1" xfId="0" applyFont="1" applyFill="1" applyBorder="1"/>
    <xf numFmtId="0" fontId="16" fillId="8" borderId="1" xfId="0" applyFont="1" applyFill="1" applyBorder="1" applyAlignment="1">
      <alignment horizontal="center" vertical="center"/>
    </xf>
    <xf numFmtId="0" fontId="17" fillId="0" borderId="1" xfId="0" applyFont="1" applyBorder="1" applyAlignment="1">
      <alignment horizontal="center" vertical="center"/>
    </xf>
    <xf numFmtId="6" fontId="17" fillId="0" borderId="1" xfId="0" applyNumberFormat="1" applyFont="1" applyBorder="1" applyAlignment="1">
      <alignment horizontal="center" vertical="center"/>
    </xf>
    <xf numFmtId="9" fontId="17" fillId="0" borderId="1" xfId="3" applyFont="1" applyBorder="1" applyAlignment="1">
      <alignment horizontal="center" vertical="center"/>
    </xf>
    <xf numFmtId="0" fontId="18" fillId="0" borderId="0" xfId="0" applyFont="1"/>
    <xf numFmtId="0" fontId="1" fillId="5" borderId="1" xfId="0" applyFont="1" applyFill="1" applyBorder="1" applyAlignment="1">
      <alignment vertical="center" wrapText="1"/>
    </xf>
    <xf numFmtId="0" fontId="1" fillId="5" borderId="1" xfId="0" applyFont="1" applyFill="1" applyBorder="1" applyAlignment="1">
      <alignment horizontal="right" vertical="center" wrapText="1"/>
    </xf>
    <xf numFmtId="9" fontId="1" fillId="4" borderId="1" xfId="0" applyNumberFormat="1" applyFont="1" applyFill="1" applyBorder="1"/>
    <xf numFmtId="165" fontId="1" fillId="9" borderId="1" xfId="0" applyNumberFormat="1" applyFont="1" applyFill="1" applyBorder="1"/>
    <xf numFmtId="0" fontId="1" fillId="9" borderId="1" xfId="0" applyFont="1" applyFill="1" applyBorder="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0" fontId="1" fillId="0" borderId="0" xfId="0" applyFont="1" applyAlignment="1">
      <alignment horizontal="center"/>
    </xf>
  </cellXfs>
  <cellStyles count="4">
    <cellStyle name="Comma" xfId="2" builtinId="3"/>
    <cellStyle name="Normal" xfId="0" builtinId="0"/>
    <cellStyle name="Normal_Sheet1" xfId="1"/>
    <cellStyle name="Percent" xfId="3" builtinId="5"/>
  </cellStyles>
  <dxfs count="3">
    <dxf>
      <fill>
        <patternFill>
          <bgColor theme="4"/>
        </patternFill>
      </fill>
    </dxf>
    <dxf>
      <fill>
        <patternFill>
          <bgColor theme="5" tint="0.39994506668294322"/>
        </patternFill>
      </fill>
    </dxf>
    <dxf>
      <fill>
        <patternFill>
          <bgColor theme="6"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10 excel sheet.xlsx]Sheet3!PivotTable3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percentStacked"/>
        <c:varyColors val="0"/>
        <c:ser>
          <c:idx val="0"/>
          <c:order val="0"/>
          <c:tx>
            <c:strRef>
              <c:f>Sheet3!$B$3:$B$4</c:f>
              <c:strCache>
                <c:ptCount val="1"/>
                <c:pt idx="0">
                  <c:v>ABC Tading</c:v>
                </c:pt>
              </c:strCache>
            </c:strRef>
          </c:tx>
          <c:spPr>
            <a:solidFill>
              <a:schemeClr val="accent1"/>
            </a:solidFill>
            <a:ln>
              <a:noFill/>
            </a:ln>
            <a:effectLst/>
          </c:spPr>
          <c:invertIfNegative val="0"/>
          <c:cat>
            <c:multiLvlStrRef>
              <c:f>Sheet3!$A$5:$A$26</c:f>
              <c:multiLvlStrCache>
                <c:ptCount val="12"/>
                <c:lvl>
                  <c:pt idx="0">
                    <c:v>CD-70</c:v>
                  </c:pt>
                  <c:pt idx="1">
                    <c:v>CG-125</c:v>
                  </c:pt>
                  <c:pt idx="2">
                    <c:v>CD-70</c:v>
                  </c:pt>
                  <c:pt idx="3">
                    <c:v>CG-125</c:v>
                  </c:pt>
                  <c:pt idx="4">
                    <c:v>CD-70</c:v>
                  </c:pt>
                  <c:pt idx="5">
                    <c:v>CG-125</c:v>
                  </c:pt>
                  <c:pt idx="6">
                    <c:v>CD-70</c:v>
                  </c:pt>
                  <c:pt idx="7">
                    <c:v>CG-125</c:v>
                  </c:pt>
                  <c:pt idx="8">
                    <c:v>CD-70</c:v>
                  </c:pt>
                  <c:pt idx="9">
                    <c:v>CG-125</c:v>
                  </c:pt>
                  <c:pt idx="10">
                    <c:v>CD-70</c:v>
                  </c:pt>
                  <c:pt idx="11">
                    <c:v>CG-125</c:v>
                  </c:pt>
                </c:lvl>
                <c:lvl>
                  <c:pt idx="0">
                    <c:v>January</c:v>
                  </c:pt>
                  <c:pt idx="2">
                    <c:v>February</c:v>
                  </c:pt>
                  <c:pt idx="4">
                    <c:v>January</c:v>
                  </c:pt>
                  <c:pt idx="6">
                    <c:v>February</c:v>
                  </c:pt>
                  <c:pt idx="8">
                    <c:v>January</c:v>
                  </c:pt>
                  <c:pt idx="10">
                    <c:v>February</c:v>
                  </c:pt>
                </c:lvl>
                <c:lvl>
                  <c:pt idx="0">
                    <c:v>Central</c:v>
                  </c:pt>
                  <c:pt idx="4">
                    <c:v>North</c:v>
                  </c:pt>
                  <c:pt idx="8">
                    <c:v>South</c:v>
                  </c:pt>
                </c:lvl>
              </c:multiLvlStrCache>
            </c:multiLvlStrRef>
          </c:cat>
          <c:val>
            <c:numRef>
              <c:f>Sheet3!$B$5:$B$26</c:f>
              <c:numCache>
                <c:formatCode>General</c:formatCode>
                <c:ptCount val="12"/>
                <c:pt idx="0">
                  <c:v>25</c:v>
                </c:pt>
                <c:pt idx="1">
                  <c:v>20</c:v>
                </c:pt>
                <c:pt idx="2">
                  <c:v>15</c:v>
                </c:pt>
                <c:pt idx="3">
                  <c:v>22</c:v>
                </c:pt>
                <c:pt idx="4">
                  <c:v>25</c:v>
                </c:pt>
                <c:pt idx="5">
                  <c:v>20</c:v>
                </c:pt>
                <c:pt idx="6">
                  <c:v>15</c:v>
                </c:pt>
                <c:pt idx="7">
                  <c:v>22</c:v>
                </c:pt>
                <c:pt idx="8">
                  <c:v>25</c:v>
                </c:pt>
                <c:pt idx="9">
                  <c:v>20</c:v>
                </c:pt>
                <c:pt idx="10">
                  <c:v>15</c:v>
                </c:pt>
                <c:pt idx="11">
                  <c:v>22</c:v>
                </c:pt>
              </c:numCache>
            </c:numRef>
          </c:val>
          <c:extLst>
            <c:ext xmlns:c16="http://schemas.microsoft.com/office/drawing/2014/chart" uri="{C3380CC4-5D6E-409C-BE32-E72D297353CC}">
              <c16:uniqueId val="{00000000-648C-4F6C-9B43-B68A769EF901}"/>
            </c:ext>
          </c:extLst>
        </c:ser>
        <c:ser>
          <c:idx val="1"/>
          <c:order val="1"/>
          <c:tx>
            <c:strRef>
              <c:f>Sheet3!$C$3:$C$4</c:f>
              <c:strCache>
                <c:ptCount val="1"/>
                <c:pt idx="0">
                  <c:v>NZB Tading</c:v>
                </c:pt>
              </c:strCache>
            </c:strRef>
          </c:tx>
          <c:spPr>
            <a:solidFill>
              <a:schemeClr val="accent2"/>
            </a:solidFill>
            <a:ln>
              <a:noFill/>
            </a:ln>
            <a:effectLst/>
          </c:spPr>
          <c:invertIfNegative val="0"/>
          <c:cat>
            <c:multiLvlStrRef>
              <c:f>Sheet3!$A$5:$A$26</c:f>
              <c:multiLvlStrCache>
                <c:ptCount val="12"/>
                <c:lvl>
                  <c:pt idx="0">
                    <c:v>CD-70</c:v>
                  </c:pt>
                  <c:pt idx="1">
                    <c:v>CG-125</c:v>
                  </c:pt>
                  <c:pt idx="2">
                    <c:v>CD-70</c:v>
                  </c:pt>
                  <c:pt idx="3">
                    <c:v>CG-125</c:v>
                  </c:pt>
                  <c:pt idx="4">
                    <c:v>CD-70</c:v>
                  </c:pt>
                  <c:pt idx="5">
                    <c:v>CG-125</c:v>
                  </c:pt>
                  <c:pt idx="6">
                    <c:v>CD-70</c:v>
                  </c:pt>
                  <c:pt idx="7">
                    <c:v>CG-125</c:v>
                  </c:pt>
                  <c:pt idx="8">
                    <c:v>CD-70</c:v>
                  </c:pt>
                  <c:pt idx="9">
                    <c:v>CG-125</c:v>
                  </c:pt>
                  <c:pt idx="10">
                    <c:v>CD-70</c:v>
                  </c:pt>
                  <c:pt idx="11">
                    <c:v>CG-125</c:v>
                  </c:pt>
                </c:lvl>
                <c:lvl>
                  <c:pt idx="0">
                    <c:v>January</c:v>
                  </c:pt>
                  <c:pt idx="2">
                    <c:v>February</c:v>
                  </c:pt>
                  <c:pt idx="4">
                    <c:v>January</c:v>
                  </c:pt>
                  <c:pt idx="6">
                    <c:v>February</c:v>
                  </c:pt>
                  <c:pt idx="8">
                    <c:v>January</c:v>
                  </c:pt>
                  <c:pt idx="10">
                    <c:v>February</c:v>
                  </c:pt>
                </c:lvl>
                <c:lvl>
                  <c:pt idx="0">
                    <c:v>Central</c:v>
                  </c:pt>
                  <c:pt idx="4">
                    <c:v>North</c:v>
                  </c:pt>
                  <c:pt idx="8">
                    <c:v>South</c:v>
                  </c:pt>
                </c:lvl>
              </c:multiLvlStrCache>
            </c:multiLvlStrRef>
          </c:cat>
          <c:val>
            <c:numRef>
              <c:f>Sheet3!$C$5:$C$26</c:f>
              <c:numCache>
                <c:formatCode>General</c:formatCode>
                <c:ptCount val="12"/>
                <c:pt idx="0">
                  <c:v>15</c:v>
                </c:pt>
                <c:pt idx="1">
                  <c:v>26</c:v>
                </c:pt>
                <c:pt idx="2">
                  <c:v>35</c:v>
                </c:pt>
                <c:pt idx="3">
                  <c:v>10</c:v>
                </c:pt>
                <c:pt idx="4">
                  <c:v>15</c:v>
                </c:pt>
                <c:pt idx="5">
                  <c:v>26</c:v>
                </c:pt>
                <c:pt idx="6">
                  <c:v>35</c:v>
                </c:pt>
                <c:pt idx="7">
                  <c:v>10</c:v>
                </c:pt>
                <c:pt idx="8">
                  <c:v>15</c:v>
                </c:pt>
                <c:pt idx="9">
                  <c:v>26</c:v>
                </c:pt>
                <c:pt idx="10">
                  <c:v>35</c:v>
                </c:pt>
                <c:pt idx="11">
                  <c:v>10</c:v>
                </c:pt>
              </c:numCache>
            </c:numRef>
          </c:val>
          <c:extLst>
            <c:ext xmlns:c16="http://schemas.microsoft.com/office/drawing/2014/chart" uri="{C3380CC4-5D6E-409C-BE32-E72D297353CC}">
              <c16:uniqueId val="{00000001-648C-4F6C-9B43-B68A769EF901}"/>
            </c:ext>
          </c:extLst>
        </c:ser>
        <c:ser>
          <c:idx val="2"/>
          <c:order val="2"/>
          <c:tx>
            <c:strRef>
              <c:f>Sheet3!$D$3:$D$4</c:f>
              <c:strCache>
                <c:ptCount val="1"/>
                <c:pt idx="0">
                  <c:v>XYZ Tading</c:v>
                </c:pt>
              </c:strCache>
            </c:strRef>
          </c:tx>
          <c:spPr>
            <a:solidFill>
              <a:schemeClr val="accent3"/>
            </a:solidFill>
            <a:ln>
              <a:noFill/>
            </a:ln>
            <a:effectLst/>
          </c:spPr>
          <c:invertIfNegative val="0"/>
          <c:cat>
            <c:multiLvlStrRef>
              <c:f>Sheet3!$A$5:$A$26</c:f>
              <c:multiLvlStrCache>
                <c:ptCount val="12"/>
                <c:lvl>
                  <c:pt idx="0">
                    <c:v>CD-70</c:v>
                  </c:pt>
                  <c:pt idx="1">
                    <c:v>CG-125</c:v>
                  </c:pt>
                  <c:pt idx="2">
                    <c:v>CD-70</c:v>
                  </c:pt>
                  <c:pt idx="3">
                    <c:v>CG-125</c:v>
                  </c:pt>
                  <c:pt idx="4">
                    <c:v>CD-70</c:v>
                  </c:pt>
                  <c:pt idx="5">
                    <c:v>CG-125</c:v>
                  </c:pt>
                  <c:pt idx="6">
                    <c:v>CD-70</c:v>
                  </c:pt>
                  <c:pt idx="7">
                    <c:v>CG-125</c:v>
                  </c:pt>
                  <c:pt idx="8">
                    <c:v>CD-70</c:v>
                  </c:pt>
                  <c:pt idx="9">
                    <c:v>CG-125</c:v>
                  </c:pt>
                  <c:pt idx="10">
                    <c:v>CD-70</c:v>
                  </c:pt>
                  <c:pt idx="11">
                    <c:v>CG-125</c:v>
                  </c:pt>
                </c:lvl>
                <c:lvl>
                  <c:pt idx="0">
                    <c:v>January</c:v>
                  </c:pt>
                  <c:pt idx="2">
                    <c:v>February</c:v>
                  </c:pt>
                  <c:pt idx="4">
                    <c:v>January</c:v>
                  </c:pt>
                  <c:pt idx="6">
                    <c:v>February</c:v>
                  </c:pt>
                  <c:pt idx="8">
                    <c:v>January</c:v>
                  </c:pt>
                  <c:pt idx="10">
                    <c:v>February</c:v>
                  </c:pt>
                </c:lvl>
                <c:lvl>
                  <c:pt idx="0">
                    <c:v>Central</c:v>
                  </c:pt>
                  <c:pt idx="4">
                    <c:v>North</c:v>
                  </c:pt>
                  <c:pt idx="8">
                    <c:v>South</c:v>
                  </c:pt>
                </c:lvl>
              </c:multiLvlStrCache>
            </c:multiLvlStrRef>
          </c:cat>
          <c:val>
            <c:numRef>
              <c:f>Sheet3!$D$5:$D$26</c:f>
              <c:numCache>
                <c:formatCode>General</c:formatCode>
                <c:ptCount val="12"/>
                <c:pt idx="0">
                  <c:v>18</c:v>
                </c:pt>
                <c:pt idx="1">
                  <c:v>10</c:v>
                </c:pt>
                <c:pt idx="2">
                  <c:v>15</c:v>
                </c:pt>
                <c:pt idx="3">
                  <c:v>16</c:v>
                </c:pt>
                <c:pt idx="4">
                  <c:v>18</c:v>
                </c:pt>
                <c:pt idx="5">
                  <c:v>10</c:v>
                </c:pt>
                <c:pt idx="6">
                  <c:v>15</c:v>
                </c:pt>
                <c:pt idx="7">
                  <c:v>16</c:v>
                </c:pt>
                <c:pt idx="8">
                  <c:v>18</c:v>
                </c:pt>
                <c:pt idx="9">
                  <c:v>10</c:v>
                </c:pt>
                <c:pt idx="10">
                  <c:v>15</c:v>
                </c:pt>
                <c:pt idx="11">
                  <c:v>16</c:v>
                </c:pt>
              </c:numCache>
            </c:numRef>
          </c:val>
          <c:extLst>
            <c:ext xmlns:c16="http://schemas.microsoft.com/office/drawing/2014/chart" uri="{C3380CC4-5D6E-409C-BE32-E72D297353CC}">
              <c16:uniqueId val="{00000002-648C-4F6C-9B43-B68A769EF901}"/>
            </c:ext>
          </c:extLst>
        </c:ser>
        <c:dLbls>
          <c:showLegendKey val="0"/>
          <c:showVal val="0"/>
          <c:showCatName val="0"/>
          <c:showSerName val="0"/>
          <c:showPercent val="0"/>
          <c:showBubbleSize val="0"/>
        </c:dLbls>
        <c:gapWidth val="150"/>
        <c:overlap val="100"/>
        <c:axId val="835219247"/>
        <c:axId val="835225071"/>
      </c:barChart>
      <c:catAx>
        <c:axId val="8352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225071"/>
        <c:crosses val="autoZero"/>
        <c:auto val="1"/>
        <c:lblAlgn val="ctr"/>
        <c:lblOffset val="100"/>
        <c:noMultiLvlLbl val="0"/>
      </c:catAx>
      <c:valAx>
        <c:axId val="8352250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2192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204354</xdr:colOff>
      <xdr:row>0</xdr:row>
      <xdr:rowOff>79471</xdr:rowOff>
    </xdr:from>
    <xdr:to>
      <xdr:col>7</xdr:col>
      <xdr:colOff>618836</xdr:colOff>
      <xdr:row>13</xdr:row>
      <xdr:rowOff>102081</xdr:rowOff>
    </xdr:to>
    <mc:AlternateContent xmlns:mc="http://schemas.openxmlformats.org/markup-compatibility/2006" xmlns:a14="http://schemas.microsoft.com/office/drawing/2010/main">
      <mc:Choice Requires="a14">
        <xdr:graphicFrame macro="">
          <xdr:nvGraphicFramePr>
            <xdr:cNvPr id="2" name="Franchiser"/>
            <xdr:cNvGraphicFramePr/>
          </xdr:nvGraphicFramePr>
          <xdr:xfrm>
            <a:off x="0" y="0"/>
            <a:ext cx="0" cy="0"/>
          </xdr:xfrm>
          <a:graphic>
            <a:graphicData uri="http://schemas.microsoft.com/office/drawing/2010/slicer">
              <sle:slicer xmlns:sle="http://schemas.microsoft.com/office/drawing/2010/slicer" name="Franchiser"/>
            </a:graphicData>
          </a:graphic>
        </xdr:graphicFrame>
      </mc:Choice>
      <mc:Fallback xmlns="">
        <xdr:sp macro="" textlink="">
          <xdr:nvSpPr>
            <xdr:cNvPr id="0" name=""/>
            <xdr:cNvSpPr>
              <a:spLocks noTextEdit="1"/>
            </xdr:cNvSpPr>
          </xdr:nvSpPr>
          <xdr:spPr>
            <a:xfrm>
              <a:off x="5332460" y="7947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613256</xdr:colOff>
      <xdr:row>0</xdr:row>
      <xdr:rowOff>84281</xdr:rowOff>
    </xdr:from>
    <xdr:to>
      <xdr:col>10</xdr:col>
      <xdr:colOff>575541</xdr:colOff>
      <xdr:row>13</xdr:row>
      <xdr:rowOff>106891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55680" y="8428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560339</xdr:colOff>
      <xdr:row>0</xdr:row>
      <xdr:rowOff>40987</xdr:rowOff>
    </xdr:from>
    <xdr:to>
      <xdr:col>13</xdr:col>
      <xdr:colOff>359063</xdr:colOff>
      <xdr:row>13</xdr:row>
      <xdr:rowOff>63597</xdr:rowOff>
    </xdr:to>
    <mc:AlternateContent xmlns:mc="http://schemas.openxmlformats.org/markup-compatibility/2006" xmlns:a14="http://schemas.microsoft.com/office/drawing/2010/main">
      <mc:Choice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969278" y="409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372726</xdr:colOff>
      <xdr:row>0</xdr:row>
      <xdr:rowOff>45797</xdr:rowOff>
    </xdr:from>
    <xdr:to>
      <xdr:col>15</xdr:col>
      <xdr:colOff>546677</xdr:colOff>
      <xdr:row>13</xdr:row>
      <xdr:rowOff>68407</xdr:rowOff>
    </xdr:to>
    <mc:AlternateContent xmlns:mc="http://schemas.openxmlformats.org/markup-compatibility/2006" xmlns:a14="http://schemas.microsoft.com/office/drawing/2010/main">
      <mc:Choice Requires="a14">
        <xdr:graphicFrame macro="">
          <xdr:nvGraphicFramePr>
            <xdr:cNvPr id="5"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811741" y="4579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215516</xdr:colOff>
      <xdr:row>14</xdr:row>
      <xdr:rowOff>71582</xdr:rowOff>
    </xdr:from>
    <xdr:to>
      <xdr:col>11</xdr:col>
      <xdr:colOff>669637</xdr:colOff>
      <xdr:row>28</xdr:row>
      <xdr:rowOff>120842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Yogesh" refreshedDate="45247.973664930556" createdVersion="8" refreshedVersion="8" minRefreshableVersion="3" recordCount="28">
  <cacheSource type="worksheet">
    <worksheetSource ref="A3:F31" sheet="Task 6"/>
  </cacheSource>
  <cacheFields count="6">
    <cacheField name="Country" numFmtId="0">
      <sharedItems count="9">
        <s v="Australia"/>
        <s v="Chile"/>
        <s v="England"/>
        <s v="France"/>
        <s v="Germany"/>
        <s v="Peru"/>
        <s v="Saudi Arabia"/>
        <s v="Spain"/>
        <s v="Trinidad"/>
      </sharedItems>
    </cacheField>
    <cacheField name="Resort Name" numFmtId="0">
      <sharedItems count="21">
        <s v="Great Barrier Reef"/>
        <s v="Perth"/>
        <s v="Santiago"/>
        <s v="London"/>
        <s v="Bognor"/>
        <s v="Lyon"/>
        <s v="Paris - Euro Disney"/>
        <s v="Nice"/>
        <s v="Toulouse"/>
        <s v="Nimes"/>
        <s v="Black Forest"/>
        <s v="Berlin"/>
        <s v="Lima"/>
        <s v="Riyadh"/>
        <s v="Barcelona"/>
        <s v="Nerja"/>
        <s v="Malaga"/>
        <s v="Seville"/>
        <s v="Madrid"/>
        <s v="Granada"/>
        <s v="Port of Spain"/>
      </sharedItems>
    </cacheField>
    <cacheField name="No of Days" numFmtId="0">
      <sharedItems containsSemiMixedTypes="0" containsString="0" containsNumber="1" containsInteger="1" minValue="1" maxValue="32"/>
    </cacheField>
    <cacheField name="Travel Method" numFmtId="0">
      <sharedItems count="3">
        <s v="Plane"/>
        <s v="Train"/>
        <s v="Coach"/>
      </sharedItems>
    </cacheField>
    <cacheField name="Price" numFmtId="164">
      <sharedItems containsSemiMixedTypes="0" containsString="0" containsNumber="1" containsInteger="1" minValue="12" maxValue="1259" count="24">
        <n v="750"/>
        <n v="985"/>
        <n v="1259"/>
        <n v="69"/>
        <n v="12"/>
        <n v="399"/>
        <n v="269"/>
        <n v="125"/>
        <n v="289"/>
        <n v="256"/>
        <n v="287"/>
        <n v="975"/>
        <n v="995"/>
        <n v="219"/>
        <n v="198"/>
        <n v="234"/>
        <n v="288"/>
        <n v="199"/>
        <n v="177"/>
        <n v="301"/>
        <n v="299"/>
        <n v="277"/>
        <n v="345"/>
        <n v="885"/>
      </sharedItems>
    </cacheField>
    <cacheField name="Holiday ID" numFmtId="0">
      <sharedItems count="27">
        <s v="I990AUS"/>
        <s v="AUS112J"/>
        <s v="CH266H"/>
        <s v="I456UK"/>
        <s v="BG726H"/>
        <s v="A7995FR"/>
        <s v="TH789FR"/>
        <s v="TH788FR"/>
        <s v="I7897FR"/>
        <s v="SG7637L"/>
        <s v="FR5625J"/>
        <s v="A111G"/>
        <s v="BR6736G"/>
        <s v="PG7836G"/>
        <s v="KSA8987"/>
        <s v="I6675SP"/>
        <s v="TH990ESP"/>
        <s v="A776ESP"/>
        <s v="NM9876Y"/>
        <s v="TH8956SP"/>
        <s v="AJ9836L"/>
        <s v="GG9836P"/>
        <s v="PL8726P"/>
        <s v="SV767HH"/>
        <s v="WE6735L"/>
        <s v="GR7878G"/>
        <s v="TT67624G"/>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PC" refreshedDate="45247.972740393518" createdVersion="6" refreshedVersion="6" minRefreshableVersion="3" recordCount="36">
  <cacheSource type="worksheet">
    <worksheetSource ref="A3:G39" sheet="Task 7"/>
  </cacheSource>
  <cacheFields count="7">
    <cacheField name="Franchiser" numFmtId="0">
      <sharedItems count="3">
        <s v="ABC Tading"/>
        <s v="NZB Tading"/>
        <s v="XYZ Tading"/>
      </sharedItems>
    </cacheField>
    <cacheField name="Region" numFmtId="0">
      <sharedItems count="3">
        <s v="South"/>
        <s v="Central"/>
        <s v="North"/>
      </sharedItems>
    </cacheField>
    <cacheField name="Month" numFmtId="0">
      <sharedItems count="2">
        <s v="January"/>
        <s v="February"/>
      </sharedItems>
    </cacheField>
    <cacheField name="Product" numFmtId="0">
      <sharedItems count="2">
        <s v="CD-70"/>
        <s v="CG-125"/>
      </sharedItems>
    </cacheField>
    <cacheField name="Unit Price" numFmtId="3">
      <sharedItems containsSemiMixedTypes="0" containsString="0" containsNumber="1" containsInteger="1" minValue="85000" maxValue="100000"/>
    </cacheField>
    <cacheField name="Number of Units Sold" numFmtId="0">
      <sharedItems containsSemiMixedTypes="0" containsString="0" containsNumber="1" containsInteger="1" minValue="10" maxValue="35"/>
    </cacheField>
    <cacheField name="Total Sale" numFmtId="43">
      <sharedItems containsSemiMixedTypes="0" containsString="0" containsNumber="1" containsInteger="1" minValue="1000000" maxValue="2975000" count="9">
        <n v="2125000"/>
        <n v="2000000"/>
        <n v="1275000"/>
        <n v="2200000"/>
        <n v="2600000"/>
        <n v="2975000"/>
        <n v="1000000"/>
        <n v="1530000"/>
        <n v="1600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
  <r>
    <x v="0"/>
    <x v="0"/>
    <n v="32"/>
    <x v="0"/>
    <x v="0"/>
    <x v="0"/>
  </r>
  <r>
    <x v="0"/>
    <x v="1"/>
    <n v="28"/>
    <x v="0"/>
    <x v="1"/>
    <x v="1"/>
  </r>
  <r>
    <x v="1"/>
    <x v="2"/>
    <n v="21"/>
    <x v="0"/>
    <x v="2"/>
    <x v="2"/>
  </r>
  <r>
    <x v="2"/>
    <x v="3"/>
    <n v="3"/>
    <x v="1"/>
    <x v="3"/>
    <x v="3"/>
  </r>
  <r>
    <x v="2"/>
    <x v="4"/>
    <n v="1"/>
    <x v="2"/>
    <x v="4"/>
    <x v="4"/>
  </r>
  <r>
    <x v="3"/>
    <x v="5"/>
    <n v="14"/>
    <x v="0"/>
    <x v="5"/>
    <x v="5"/>
  </r>
  <r>
    <x v="3"/>
    <x v="6"/>
    <n v="5"/>
    <x v="1"/>
    <x v="6"/>
    <x v="6"/>
  </r>
  <r>
    <x v="3"/>
    <x v="6"/>
    <n v="3"/>
    <x v="1"/>
    <x v="7"/>
    <x v="7"/>
  </r>
  <r>
    <x v="3"/>
    <x v="7"/>
    <n v="7"/>
    <x v="0"/>
    <x v="8"/>
    <x v="8"/>
  </r>
  <r>
    <x v="3"/>
    <x v="8"/>
    <n v="7"/>
    <x v="1"/>
    <x v="9"/>
    <x v="9"/>
  </r>
  <r>
    <x v="3"/>
    <x v="9"/>
    <n v="7"/>
    <x v="0"/>
    <x v="10"/>
    <x v="10"/>
  </r>
  <r>
    <x v="4"/>
    <x v="10"/>
    <n v="4"/>
    <x v="2"/>
    <x v="3"/>
    <x v="11"/>
  </r>
  <r>
    <x v="4"/>
    <x v="11"/>
    <n v="7"/>
    <x v="2"/>
    <x v="8"/>
    <x v="12"/>
  </r>
  <r>
    <x v="5"/>
    <x v="12"/>
    <n v="21"/>
    <x v="0"/>
    <x v="11"/>
    <x v="13"/>
  </r>
  <r>
    <x v="6"/>
    <x v="13"/>
    <n v="14"/>
    <x v="0"/>
    <x v="12"/>
    <x v="14"/>
  </r>
  <r>
    <x v="7"/>
    <x v="14"/>
    <n v="4"/>
    <x v="1"/>
    <x v="13"/>
    <x v="15"/>
  </r>
  <r>
    <x v="7"/>
    <x v="15"/>
    <n v="6"/>
    <x v="0"/>
    <x v="14"/>
    <x v="16"/>
  </r>
  <r>
    <x v="7"/>
    <x v="16"/>
    <n v="16"/>
    <x v="0"/>
    <x v="15"/>
    <x v="17"/>
  </r>
  <r>
    <x v="7"/>
    <x v="17"/>
    <n v="14"/>
    <x v="0"/>
    <x v="16"/>
    <x v="18"/>
  </r>
  <r>
    <x v="7"/>
    <x v="17"/>
    <n v="10"/>
    <x v="0"/>
    <x v="17"/>
    <x v="19"/>
  </r>
  <r>
    <x v="7"/>
    <x v="14"/>
    <n v="8"/>
    <x v="0"/>
    <x v="18"/>
    <x v="20"/>
  </r>
  <r>
    <x v="7"/>
    <x v="14"/>
    <n v="7"/>
    <x v="2"/>
    <x v="17"/>
    <x v="21"/>
  </r>
  <r>
    <x v="7"/>
    <x v="16"/>
    <n v="14"/>
    <x v="0"/>
    <x v="19"/>
    <x v="22"/>
  </r>
  <r>
    <x v="7"/>
    <x v="14"/>
    <n v="4"/>
    <x v="1"/>
    <x v="13"/>
    <x v="15"/>
  </r>
  <r>
    <x v="7"/>
    <x v="17"/>
    <n v="14"/>
    <x v="1"/>
    <x v="20"/>
    <x v="23"/>
  </r>
  <r>
    <x v="7"/>
    <x v="18"/>
    <n v="8"/>
    <x v="0"/>
    <x v="21"/>
    <x v="24"/>
  </r>
  <r>
    <x v="7"/>
    <x v="19"/>
    <n v="10"/>
    <x v="0"/>
    <x v="22"/>
    <x v="25"/>
  </r>
  <r>
    <x v="8"/>
    <x v="20"/>
    <n v="14"/>
    <x v="0"/>
    <x v="23"/>
    <x v="26"/>
  </r>
</pivotCacheRecords>
</file>

<file path=xl/pivotCache/pivotCacheRecords2.xml><?xml version="1.0" encoding="utf-8"?>
<pivotCacheRecords xmlns="http://schemas.openxmlformats.org/spreadsheetml/2006/main" xmlns:r="http://schemas.openxmlformats.org/officeDocument/2006/relationships" count="36">
  <r>
    <x v="0"/>
    <x v="0"/>
    <x v="0"/>
    <x v="0"/>
    <n v="85000"/>
    <n v="25"/>
    <x v="0"/>
  </r>
  <r>
    <x v="0"/>
    <x v="0"/>
    <x v="0"/>
    <x v="1"/>
    <n v="100000"/>
    <n v="20"/>
    <x v="1"/>
  </r>
  <r>
    <x v="0"/>
    <x v="0"/>
    <x v="1"/>
    <x v="0"/>
    <n v="85000"/>
    <n v="15"/>
    <x v="2"/>
  </r>
  <r>
    <x v="0"/>
    <x v="0"/>
    <x v="1"/>
    <x v="1"/>
    <n v="100000"/>
    <n v="22"/>
    <x v="3"/>
  </r>
  <r>
    <x v="1"/>
    <x v="1"/>
    <x v="0"/>
    <x v="0"/>
    <n v="85000"/>
    <n v="15"/>
    <x v="2"/>
  </r>
  <r>
    <x v="1"/>
    <x v="1"/>
    <x v="0"/>
    <x v="1"/>
    <n v="100000"/>
    <n v="26"/>
    <x v="4"/>
  </r>
  <r>
    <x v="1"/>
    <x v="1"/>
    <x v="1"/>
    <x v="0"/>
    <n v="85000"/>
    <n v="35"/>
    <x v="5"/>
  </r>
  <r>
    <x v="1"/>
    <x v="1"/>
    <x v="1"/>
    <x v="1"/>
    <n v="100000"/>
    <n v="10"/>
    <x v="6"/>
  </r>
  <r>
    <x v="2"/>
    <x v="2"/>
    <x v="0"/>
    <x v="0"/>
    <n v="85000"/>
    <n v="18"/>
    <x v="7"/>
  </r>
  <r>
    <x v="2"/>
    <x v="2"/>
    <x v="0"/>
    <x v="1"/>
    <n v="100000"/>
    <n v="10"/>
    <x v="6"/>
  </r>
  <r>
    <x v="2"/>
    <x v="2"/>
    <x v="1"/>
    <x v="0"/>
    <n v="85000"/>
    <n v="15"/>
    <x v="2"/>
  </r>
  <r>
    <x v="2"/>
    <x v="2"/>
    <x v="1"/>
    <x v="1"/>
    <n v="100000"/>
    <n v="16"/>
    <x v="8"/>
  </r>
  <r>
    <x v="0"/>
    <x v="2"/>
    <x v="0"/>
    <x v="0"/>
    <n v="85000"/>
    <n v="25"/>
    <x v="0"/>
  </r>
  <r>
    <x v="0"/>
    <x v="2"/>
    <x v="0"/>
    <x v="1"/>
    <n v="100000"/>
    <n v="20"/>
    <x v="1"/>
  </r>
  <r>
    <x v="0"/>
    <x v="2"/>
    <x v="1"/>
    <x v="0"/>
    <n v="85000"/>
    <n v="15"/>
    <x v="2"/>
  </r>
  <r>
    <x v="0"/>
    <x v="2"/>
    <x v="1"/>
    <x v="1"/>
    <n v="100000"/>
    <n v="22"/>
    <x v="3"/>
  </r>
  <r>
    <x v="1"/>
    <x v="0"/>
    <x v="0"/>
    <x v="0"/>
    <n v="85000"/>
    <n v="15"/>
    <x v="2"/>
  </r>
  <r>
    <x v="1"/>
    <x v="0"/>
    <x v="0"/>
    <x v="1"/>
    <n v="100000"/>
    <n v="26"/>
    <x v="4"/>
  </r>
  <r>
    <x v="1"/>
    <x v="0"/>
    <x v="1"/>
    <x v="0"/>
    <n v="85000"/>
    <n v="35"/>
    <x v="5"/>
  </r>
  <r>
    <x v="1"/>
    <x v="0"/>
    <x v="1"/>
    <x v="1"/>
    <n v="100000"/>
    <n v="10"/>
    <x v="6"/>
  </r>
  <r>
    <x v="2"/>
    <x v="1"/>
    <x v="0"/>
    <x v="0"/>
    <n v="85000"/>
    <n v="18"/>
    <x v="7"/>
  </r>
  <r>
    <x v="2"/>
    <x v="1"/>
    <x v="0"/>
    <x v="1"/>
    <n v="100000"/>
    <n v="10"/>
    <x v="6"/>
  </r>
  <r>
    <x v="2"/>
    <x v="1"/>
    <x v="1"/>
    <x v="0"/>
    <n v="85000"/>
    <n v="15"/>
    <x v="2"/>
  </r>
  <r>
    <x v="2"/>
    <x v="1"/>
    <x v="1"/>
    <x v="1"/>
    <n v="100000"/>
    <n v="16"/>
    <x v="8"/>
  </r>
  <r>
    <x v="0"/>
    <x v="1"/>
    <x v="0"/>
    <x v="0"/>
    <n v="85000"/>
    <n v="25"/>
    <x v="0"/>
  </r>
  <r>
    <x v="0"/>
    <x v="1"/>
    <x v="0"/>
    <x v="1"/>
    <n v="100000"/>
    <n v="20"/>
    <x v="1"/>
  </r>
  <r>
    <x v="0"/>
    <x v="1"/>
    <x v="1"/>
    <x v="0"/>
    <n v="85000"/>
    <n v="15"/>
    <x v="2"/>
  </r>
  <r>
    <x v="0"/>
    <x v="1"/>
    <x v="1"/>
    <x v="1"/>
    <n v="100000"/>
    <n v="22"/>
    <x v="3"/>
  </r>
  <r>
    <x v="1"/>
    <x v="2"/>
    <x v="0"/>
    <x v="0"/>
    <n v="85000"/>
    <n v="15"/>
    <x v="2"/>
  </r>
  <r>
    <x v="1"/>
    <x v="2"/>
    <x v="0"/>
    <x v="1"/>
    <n v="100000"/>
    <n v="26"/>
    <x v="4"/>
  </r>
  <r>
    <x v="1"/>
    <x v="2"/>
    <x v="1"/>
    <x v="0"/>
    <n v="85000"/>
    <n v="35"/>
    <x v="5"/>
  </r>
  <r>
    <x v="1"/>
    <x v="2"/>
    <x v="1"/>
    <x v="1"/>
    <n v="100000"/>
    <n v="10"/>
    <x v="6"/>
  </r>
  <r>
    <x v="2"/>
    <x v="0"/>
    <x v="0"/>
    <x v="0"/>
    <n v="85000"/>
    <n v="18"/>
    <x v="7"/>
  </r>
  <r>
    <x v="2"/>
    <x v="0"/>
    <x v="0"/>
    <x v="1"/>
    <n v="100000"/>
    <n v="10"/>
    <x v="6"/>
  </r>
  <r>
    <x v="2"/>
    <x v="0"/>
    <x v="1"/>
    <x v="0"/>
    <n v="85000"/>
    <n v="15"/>
    <x v="2"/>
  </r>
  <r>
    <x v="2"/>
    <x v="0"/>
    <x v="1"/>
    <x v="1"/>
    <n v="100000"/>
    <n v="16"/>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4:D8" firstHeaderRow="1" firstDataRow="2" firstDataCol="1" rowPageCount="1" colPageCount="1"/>
  <pivotFields count="6">
    <pivotField axis="axisRow" showAll="0">
      <items count="10">
        <item h="1" x="0"/>
        <item x="1"/>
        <item h="1" x="2"/>
        <item h="1" x="3"/>
        <item h="1" x="4"/>
        <item h="1" x="5"/>
        <item h="1" x="6"/>
        <item x="7"/>
        <item h="1" x="8"/>
        <item t="default"/>
      </items>
    </pivotField>
    <pivotField axis="axisCol" showAll="0">
      <items count="22">
        <item h="1" x="14"/>
        <item h="1" x="11"/>
        <item h="1" x="10"/>
        <item h="1" x="4"/>
        <item h="1" x="19"/>
        <item h="1" x="0"/>
        <item h="1" x="12"/>
        <item h="1" x="3"/>
        <item h="1" x="5"/>
        <item h="1" x="18"/>
        <item h="1" x="16"/>
        <item h="1" x="15"/>
        <item h="1" x="7"/>
        <item h="1" x="9"/>
        <item h="1" x="6"/>
        <item x="1"/>
        <item h="1" x="20"/>
        <item h="1" x="13"/>
        <item x="2"/>
        <item x="17"/>
        <item h="1" x="8"/>
        <item t="default"/>
      </items>
    </pivotField>
    <pivotField showAll="0"/>
    <pivotField axis="axisPage" showAll="0">
      <items count="4">
        <item x="2"/>
        <item x="0"/>
        <item x="1"/>
        <item t="default"/>
      </items>
    </pivotField>
    <pivotField dataField="1" numFmtId="164" showAll="0">
      <items count="25">
        <item x="4"/>
        <item x="3"/>
        <item x="7"/>
        <item x="18"/>
        <item x="14"/>
        <item x="17"/>
        <item x="13"/>
        <item x="15"/>
        <item x="9"/>
        <item x="6"/>
        <item x="21"/>
        <item x="10"/>
        <item x="16"/>
        <item x="8"/>
        <item x="20"/>
        <item x="19"/>
        <item x="22"/>
        <item x="5"/>
        <item x="0"/>
        <item x="23"/>
        <item x="11"/>
        <item x="1"/>
        <item x="12"/>
        <item x="2"/>
        <item t="default"/>
      </items>
    </pivotField>
    <pivotField showAll="0"/>
  </pivotFields>
  <rowFields count="1">
    <field x="0"/>
  </rowFields>
  <rowItems count="3">
    <i>
      <x v="1"/>
    </i>
    <i>
      <x v="7"/>
    </i>
    <i t="grand">
      <x/>
    </i>
  </rowItems>
  <colFields count="1">
    <field x="1"/>
  </colFields>
  <colItems count="3">
    <i>
      <x v="18"/>
    </i>
    <i>
      <x v="19"/>
    </i>
    <i t="grand">
      <x/>
    </i>
  </colItems>
  <pageFields count="1">
    <pageField fld="3" item="1" hier="-1"/>
  </pageFields>
  <dataFields count="1">
    <dataField name="Average of Price" fld="4"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E26" firstHeaderRow="1" firstDataRow="2" firstDataCol="1" rowPageCount="1" colPageCount="1"/>
  <pivotFields count="7">
    <pivotField axis="axisCol" showAll="0">
      <items count="4">
        <item x="0"/>
        <item x="1"/>
        <item x="2"/>
        <item t="default"/>
      </items>
    </pivotField>
    <pivotField axis="axisRow" showAll="0">
      <items count="4">
        <item x="1"/>
        <item x="2"/>
        <item x="0"/>
        <item t="default"/>
      </items>
    </pivotField>
    <pivotField axis="axisRow" showAll="0">
      <items count="3">
        <item x="0"/>
        <item x="1"/>
        <item t="default"/>
      </items>
    </pivotField>
    <pivotField axis="axisRow" showAll="0">
      <items count="3">
        <item x="0"/>
        <item x="1"/>
        <item t="default"/>
      </items>
    </pivotField>
    <pivotField numFmtId="3" showAll="0"/>
    <pivotField dataField="1" showAll="0"/>
    <pivotField axis="axisPage" numFmtId="43" showAll="0">
      <items count="10">
        <item x="6"/>
        <item x="2"/>
        <item x="7"/>
        <item x="8"/>
        <item x="1"/>
        <item x="0"/>
        <item x="3"/>
        <item x="4"/>
        <item x="5"/>
        <item t="default"/>
      </items>
    </pivotField>
  </pivotFields>
  <rowFields count="3">
    <field x="1"/>
    <field x="2"/>
    <field x="3"/>
  </rowFields>
  <rowItems count="22">
    <i>
      <x/>
    </i>
    <i r="1">
      <x/>
    </i>
    <i r="2">
      <x/>
    </i>
    <i r="2">
      <x v="1"/>
    </i>
    <i r="1">
      <x v="1"/>
    </i>
    <i r="2">
      <x/>
    </i>
    <i r="2">
      <x v="1"/>
    </i>
    <i>
      <x v="1"/>
    </i>
    <i r="1">
      <x/>
    </i>
    <i r="2">
      <x/>
    </i>
    <i r="2">
      <x v="1"/>
    </i>
    <i r="1">
      <x v="1"/>
    </i>
    <i r="2">
      <x/>
    </i>
    <i r="2">
      <x v="1"/>
    </i>
    <i>
      <x v="2"/>
    </i>
    <i r="1">
      <x/>
    </i>
    <i r="2">
      <x/>
    </i>
    <i r="2">
      <x v="1"/>
    </i>
    <i r="1">
      <x v="1"/>
    </i>
    <i r="2">
      <x/>
    </i>
    <i r="2">
      <x v="1"/>
    </i>
    <i t="grand">
      <x/>
    </i>
  </rowItems>
  <colFields count="1">
    <field x="0"/>
  </colFields>
  <colItems count="4">
    <i>
      <x/>
    </i>
    <i>
      <x v="1"/>
    </i>
    <i>
      <x v="2"/>
    </i>
    <i t="grand">
      <x/>
    </i>
  </colItems>
  <pageFields count="1">
    <pageField fld="6" hier="-1"/>
  </pageFields>
  <dataFields count="1">
    <dataField name="Sum of Number of Units Sold" fld="5" baseField="0" baseItem="0"/>
  </dataFields>
  <chartFormats count="3">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Franchiser" sourceName="Franchiser">
  <pivotTables>
    <pivotTable tabId="21" name="PivotTable3"/>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1" name="PivotTable3"/>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1" name="PivotTable3"/>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1"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Franchiser" cache="Slicer_Franchiser" caption="Franchiser" rowHeight="241300"/>
  <slicer name="Region" cache="Slicer_Region" caption="Region" rowHeight="241300"/>
  <slicer name="Month" cache="Slicer_Month" caption="Month" rowHeight="241300"/>
  <slicer name="Product" cache="Slicer_Product" caption="Product" rowHeight="241300"/>
</slicers>
</file>

<file path=xl/tables/table1.xml><?xml version="1.0" encoding="utf-8"?>
<table xmlns="http://schemas.openxmlformats.org/spreadsheetml/2006/main" id="7" name="Table7" displayName="Table7" ref="A1:F4" totalsRowShown="0">
  <autoFilter ref="A1:F4"/>
  <tableColumns count="6">
    <tableColumn id="1" name="Country"/>
    <tableColumn id="2" name="Resort Name"/>
    <tableColumn id="3" name="No of Days"/>
    <tableColumn id="4" name="Travel Method"/>
    <tableColumn id="5" name="Price"/>
    <tableColumn id="6" name="Holiday 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abSelected="1" workbookViewId="0">
      <selection activeCell="N10" sqref="N10"/>
    </sheetView>
  </sheetViews>
  <sheetFormatPr defaultRowHeight="15" x14ac:dyDescent="0.25"/>
  <cols>
    <col min="1" max="1" width="19.7109375" customWidth="1"/>
    <col min="3" max="3" width="11.28515625" customWidth="1"/>
    <col min="4" max="4" width="11.7109375" customWidth="1"/>
  </cols>
  <sheetData>
    <row r="1" spans="1:5" x14ac:dyDescent="0.25">
      <c r="A1" s="93" t="s">
        <v>11</v>
      </c>
      <c r="B1" s="93"/>
      <c r="C1" s="93"/>
      <c r="D1" s="93"/>
      <c r="E1" s="93"/>
    </row>
    <row r="3" spans="1:5" x14ac:dyDescent="0.25">
      <c r="A3" s="2" t="s">
        <v>0</v>
      </c>
      <c r="B3" s="2" t="s">
        <v>1</v>
      </c>
      <c r="C3" s="2" t="s">
        <v>2</v>
      </c>
      <c r="D3" s="2" t="s">
        <v>3</v>
      </c>
    </row>
    <row r="4" spans="1:5" x14ac:dyDescent="0.25">
      <c r="A4" t="s">
        <v>4</v>
      </c>
      <c r="B4">
        <v>85000</v>
      </c>
      <c r="C4">
        <v>94500</v>
      </c>
      <c r="D4" s="87">
        <f>C4/B4</f>
        <v>1.111764705882353</v>
      </c>
    </row>
    <row r="5" spans="1:5" x14ac:dyDescent="0.25">
      <c r="A5" t="s">
        <v>5</v>
      </c>
      <c r="B5">
        <v>120000</v>
      </c>
      <c r="C5">
        <v>118000</v>
      </c>
      <c r="D5" s="87">
        <f t="shared" ref="D5:D10" si="0">C5/B5</f>
        <v>0.98333333333333328</v>
      </c>
    </row>
    <row r="6" spans="1:5" x14ac:dyDescent="0.25">
      <c r="A6" t="s">
        <v>6</v>
      </c>
      <c r="B6">
        <v>100000</v>
      </c>
      <c r="C6">
        <v>107000</v>
      </c>
      <c r="D6" s="87">
        <f t="shared" si="0"/>
        <v>1.07</v>
      </c>
    </row>
    <row r="7" spans="1:5" x14ac:dyDescent="0.25">
      <c r="A7" t="s">
        <v>7</v>
      </c>
      <c r="B7">
        <v>65000</v>
      </c>
      <c r="C7">
        <v>29000</v>
      </c>
      <c r="D7" s="87">
        <f t="shared" si="0"/>
        <v>0.44615384615384618</v>
      </c>
    </row>
    <row r="8" spans="1:5" x14ac:dyDescent="0.25">
      <c r="A8" t="s">
        <v>8</v>
      </c>
      <c r="B8">
        <v>50000</v>
      </c>
      <c r="C8">
        <v>67000</v>
      </c>
      <c r="D8" s="87">
        <f t="shared" si="0"/>
        <v>1.34</v>
      </c>
    </row>
    <row r="9" spans="1:5" x14ac:dyDescent="0.25">
      <c r="A9" t="s">
        <v>9</v>
      </c>
      <c r="B9">
        <v>150000</v>
      </c>
      <c r="C9">
        <v>198000</v>
      </c>
      <c r="D9" s="87">
        <f t="shared" si="0"/>
        <v>1.32</v>
      </c>
    </row>
    <row r="10" spans="1:5" x14ac:dyDescent="0.25">
      <c r="A10" t="s">
        <v>10</v>
      </c>
      <c r="B10">
        <v>95000</v>
      </c>
      <c r="C10">
        <v>124750</v>
      </c>
      <c r="D10" s="87">
        <f t="shared" si="0"/>
        <v>1.3131578947368421</v>
      </c>
    </row>
  </sheetData>
  <mergeCells count="1">
    <mergeCell ref="A1:E1"/>
  </mergeCells>
  <conditionalFormatting sqref="D4:D10">
    <cfRule type="iconSet" priority="1">
      <iconSet iconSet="3TrafficLights2">
        <cfvo type="percent" val="0"/>
        <cfvo type="percent" val="33"/>
        <cfvo type="percent" val="67"/>
      </iconSet>
    </cfRule>
    <cfRule type="iconSet" priority="2">
      <iconSet iconSet="4TrafficLights">
        <cfvo type="percent" val="0"/>
        <cfvo type="percent" val="25"/>
        <cfvo type="percent" val="50"/>
        <cfvo type="percent" val="75"/>
      </iconSet>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D27" sqref="D27"/>
    </sheetView>
  </sheetViews>
  <sheetFormatPr defaultRowHeight="15" x14ac:dyDescent="0.25"/>
  <cols>
    <col min="1" max="1" width="10.42578125" customWidth="1"/>
    <col min="2" max="2" width="9.5703125" style="1" customWidth="1"/>
    <col min="3" max="3" width="12.140625" customWidth="1"/>
    <col min="4" max="4" width="6" customWidth="1"/>
    <col min="5" max="5" width="14.85546875" customWidth="1"/>
    <col min="6" max="6" width="11.85546875" customWidth="1"/>
  </cols>
  <sheetData>
    <row r="1" spans="1:6" ht="18.75" x14ac:dyDescent="0.3">
      <c r="A1" s="9" t="s">
        <v>79</v>
      </c>
    </row>
    <row r="3" spans="1:6" ht="30" x14ac:dyDescent="0.25">
      <c r="A3" s="10" t="s">
        <v>80</v>
      </c>
      <c r="B3" s="11" t="s">
        <v>81</v>
      </c>
      <c r="C3" s="12" t="s">
        <v>82</v>
      </c>
      <c r="E3" t="s">
        <v>83</v>
      </c>
    </row>
    <row r="4" spans="1:6" x14ac:dyDescent="0.25">
      <c r="A4" s="13" t="s">
        <v>84</v>
      </c>
      <c r="B4" s="14">
        <v>6</v>
      </c>
      <c r="C4" s="15">
        <f>IF(B4&gt;$F$7,B4*F9,IF(B4&gt;F$8,B4*F$10,"Free parking"))</f>
        <v>9</v>
      </c>
      <c r="E4" t="s">
        <v>85</v>
      </c>
    </row>
    <row r="5" spans="1:6" x14ac:dyDescent="0.25">
      <c r="A5" s="13" t="s">
        <v>86</v>
      </c>
      <c r="B5" s="14">
        <v>12</v>
      </c>
      <c r="C5" s="15">
        <f t="shared" ref="C5:C13" si="0">IF(B5&gt;$F$7,B5*F10,IF(B5&gt;F$8,B5*F$10,"Free parking"))</f>
        <v>18</v>
      </c>
      <c r="E5" t="s">
        <v>87</v>
      </c>
    </row>
    <row r="6" spans="1:6" x14ac:dyDescent="0.25">
      <c r="A6" s="13" t="s">
        <v>88</v>
      </c>
      <c r="B6" s="14">
        <v>8</v>
      </c>
      <c r="C6" s="15">
        <f t="shared" si="0"/>
        <v>12</v>
      </c>
    </row>
    <row r="7" spans="1:6" x14ac:dyDescent="0.25">
      <c r="A7" s="13" t="s">
        <v>89</v>
      </c>
      <c r="B7" s="14">
        <v>11</v>
      </c>
      <c r="C7" s="15">
        <f t="shared" si="0"/>
        <v>0</v>
      </c>
      <c r="E7" t="s">
        <v>90</v>
      </c>
      <c r="F7" s="16">
        <v>8</v>
      </c>
    </row>
    <row r="8" spans="1:6" x14ac:dyDescent="0.25">
      <c r="A8" s="13" t="s">
        <v>91</v>
      </c>
      <c r="B8" s="14">
        <v>5</v>
      </c>
      <c r="C8" s="15" t="str">
        <f t="shared" si="0"/>
        <v>Free parking</v>
      </c>
      <c r="E8" t="s">
        <v>92</v>
      </c>
      <c r="F8" s="16">
        <v>5</v>
      </c>
    </row>
    <row r="9" spans="1:6" x14ac:dyDescent="0.25">
      <c r="A9" s="13" t="s">
        <v>93</v>
      </c>
      <c r="B9" s="14">
        <v>3</v>
      </c>
      <c r="C9" s="15" t="str">
        <f t="shared" si="0"/>
        <v>Free parking</v>
      </c>
      <c r="E9" t="s">
        <v>94</v>
      </c>
      <c r="F9" s="17">
        <v>1</v>
      </c>
    </row>
    <row r="10" spans="1:6" x14ac:dyDescent="0.25">
      <c r="A10" s="13" t="s">
        <v>95</v>
      </c>
      <c r="B10" s="14">
        <v>12</v>
      </c>
      <c r="C10" s="15">
        <f t="shared" si="0"/>
        <v>0</v>
      </c>
      <c r="E10" t="s">
        <v>96</v>
      </c>
      <c r="F10" s="17">
        <v>1.5</v>
      </c>
    </row>
    <row r="11" spans="1:6" x14ac:dyDescent="0.25">
      <c r="A11" s="13" t="s">
        <v>97</v>
      </c>
      <c r="B11" s="14">
        <v>7</v>
      </c>
      <c r="C11" s="15">
        <f t="shared" si="0"/>
        <v>10.5</v>
      </c>
    </row>
    <row r="12" spans="1:6" x14ac:dyDescent="0.25">
      <c r="A12" s="13" t="s">
        <v>98</v>
      </c>
      <c r="B12" s="14">
        <v>1</v>
      </c>
      <c r="C12" s="15" t="str">
        <f t="shared" si="0"/>
        <v>Free parking</v>
      </c>
    </row>
    <row r="13" spans="1:6" x14ac:dyDescent="0.25">
      <c r="A13" s="13" t="s">
        <v>99</v>
      </c>
      <c r="B13" s="14">
        <v>6</v>
      </c>
      <c r="C13" s="15">
        <f t="shared" si="0"/>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zoomScaleNormal="100" workbookViewId="0">
      <selection activeCell="D16" sqref="D16"/>
    </sheetView>
  </sheetViews>
  <sheetFormatPr defaultRowHeight="15" x14ac:dyDescent="0.25"/>
  <cols>
    <col min="1" max="1" width="17.85546875" customWidth="1"/>
    <col min="2" max="2" width="7" bestFit="1" customWidth="1"/>
    <col min="3" max="3" width="8.140625" bestFit="1" customWidth="1"/>
    <col min="4" max="4" width="8.7109375" customWidth="1"/>
    <col min="5" max="5" width="8.140625" customWidth="1"/>
    <col min="6" max="6" width="8.28515625" customWidth="1"/>
    <col min="7" max="7" width="2.42578125" customWidth="1"/>
    <col min="8" max="8" width="13.42578125" customWidth="1"/>
    <col min="9" max="9" width="14.28515625" customWidth="1"/>
  </cols>
  <sheetData>
    <row r="1" spans="1:9" ht="18.75" x14ac:dyDescent="0.3">
      <c r="A1" s="81" t="s">
        <v>312</v>
      </c>
    </row>
    <row r="3" spans="1:9" s="22" customFormat="1" ht="60" x14ac:dyDescent="0.25">
      <c r="A3" s="82" t="s">
        <v>313</v>
      </c>
      <c r="B3" s="83" t="s">
        <v>17</v>
      </c>
      <c r="C3" s="83" t="s">
        <v>314</v>
      </c>
      <c r="D3" s="83" t="s">
        <v>315</v>
      </c>
      <c r="E3" s="83" t="s">
        <v>316</v>
      </c>
      <c r="F3" s="83" t="s">
        <v>317</v>
      </c>
    </row>
    <row r="4" spans="1:9" x14ac:dyDescent="0.25">
      <c r="A4" s="13" t="s">
        <v>318</v>
      </c>
      <c r="B4" s="15">
        <v>1</v>
      </c>
      <c r="C4" s="13">
        <v>8</v>
      </c>
      <c r="D4" s="15">
        <f t="shared" ref="D4:D15" si="0">B4*C4</f>
        <v>8</v>
      </c>
      <c r="E4" s="15">
        <f>IF(C4&gt;=I$10,D4*I$12,IF(C4&gt;=I$11,D4*I$13, 0))</f>
        <v>0.4</v>
      </c>
      <c r="F4" s="15">
        <f>D4-E4</f>
        <v>7.6</v>
      </c>
      <c r="H4" t="s">
        <v>319</v>
      </c>
    </row>
    <row r="5" spans="1:9" x14ac:dyDescent="0.25">
      <c r="A5" s="13" t="s">
        <v>320</v>
      </c>
      <c r="B5" s="15">
        <v>1</v>
      </c>
      <c r="C5" s="13">
        <v>5</v>
      </c>
      <c r="D5" s="15">
        <f t="shared" si="0"/>
        <v>5</v>
      </c>
      <c r="E5" s="15">
        <f t="shared" ref="E5:E16" si="1">IF(C5&gt;=I$10,D5*I$12,IF(C5&gt;=I$11,D5*I$13, 0))</f>
        <v>0</v>
      </c>
      <c r="F5" s="15">
        <f t="shared" ref="F5:F15" si="2">D5-E5</f>
        <v>5</v>
      </c>
    </row>
    <row r="6" spans="1:9" x14ac:dyDescent="0.25">
      <c r="A6" s="13" t="s">
        <v>321</v>
      </c>
      <c r="B6" s="15">
        <v>1</v>
      </c>
      <c r="C6" s="13">
        <v>6</v>
      </c>
      <c r="D6" s="15">
        <f t="shared" si="0"/>
        <v>6</v>
      </c>
      <c r="E6" s="15">
        <f t="shared" si="1"/>
        <v>0.30000000000000004</v>
      </c>
      <c r="F6" s="15">
        <f t="shared" si="2"/>
        <v>5.7</v>
      </c>
      <c r="H6" t="s">
        <v>322</v>
      </c>
      <c r="I6" t="s">
        <v>323</v>
      </c>
    </row>
    <row r="7" spans="1:9" x14ac:dyDescent="0.25">
      <c r="A7" s="13" t="s">
        <v>324</v>
      </c>
      <c r="B7" s="15">
        <v>1.5</v>
      </c>
      <c r="C7" s="13">
        <v>12</v>
      </c>
      <c r="D7" s="15">
        <f t="shared" si="0"/>
        <v>18</v>
      </c>
      <c r="E7" s="15">
        <f t="shared" si="1"/>
        <v>0.9</v>
      </c>
      <c r="F7" s="15">
        <f t="shared" si="2"/>
        <v>17.100000000000001</v>
      </c>
      <c r="H7" t="s">
        <v>325</v>
      </c>
      <c r="I7" t="s">
        <v>326</v>
      </c>
    </row>
    <row r="8" spans="1:9" x14ac:dyDescent="0.25">
      <c r="A8" s="13" t="s">
        <v>327</v>
      </c>
      <c r="B8" s="15">
        <v>1</v>
      </c>
      <c r="C8" s="13">
        <v>1</v>
      </c>
      <c r="D8" s="15">
        <f t="shared" si="0"/>
        <v>1</v>
      </c>
      <c r="E8" s="15">
        <f t="shared" si="1"/>
        <v>0</v>
      </c>
      <c r="F8" s="15">
        <f t="shared" si="2"/>
        <v>1</v>
      </c>
      <c r="H8" t="s">
        <v>328</v>
      </c>
      <c r="I8" t="s">
        <v>329</v>
      </c>
    </row>
    <row r="9" spans="1:9" x14ac:dyDescent="0.25">
      <c r="A9" s="13" t="s">
        <v>330</v>
      </c>
      <c r="B9" s="15">
        <v>0.75</v>
      </c>
      <c r="C9" s="13">
        <v>15</v>
      </c>
      <c r="D9" s="15">
        <f t="shared" si="0"/>
        <v>11.25</v>
      </c>
      <c r="E9" s="15">
        <f t="shared" si="1"/>
        <v>1.125</v>
      </c>
      <c r="F9" s="15">
        <f t="shared" si="2"/>
        <v>10.125</v>
      </c>
    </row>
    <row r="10" spans="1:9" x14ac:dyDescent="0.25">
      <c r="A10" s="13" t="s">
        <v>331</v>
      </c>
      <c r="B10" s="15">
        <v>1.5</v>
      </c>
      <c r="C10" s="13">
        <v>8</v>
      </c>
      <c r="D10" s="15">
        <f t="shared" si="0"/>
        <v>12</v>
      </c>
      <c r="E10" s="15">
        <f t="shared" si="1"/>
        <v>0.60000000000000009</v>
      </c>
      <c r="F10" s="15">
        <f t="shared" si="2"/>
        <v>11.4</v>
      </c>
      <c r="H10" t="s">
        <v>90</v>
      </c>
      <c r="I10" s="16">
        <v>15</v>
      </c>
    </row>
    <row r="11" spans="1:9" x14ac:dyDescent="0.25">
      <c r="A11" s="13" t="s">
        <v>332</v>
      </c>
      <c r="B11" s="15">
        <v>0.75</v>
      </c>
      <c r="C11" s="13">
        <v>5</v>
      </c>
      <c r="D11" s="15">
        <f t="shared" si="0"/>
        <v>3.75</v>
      </c>
      <c r="E11" s="15">
        <f t="shared" si="1"/>
        <v>0</v>
      </c>
      <c r="F11" s="15">
        <f t="shared" si="2"/>
        <v>3.75</v>
      </c>
      <c r="H11" t="s">
        <v>92</v>
      </c>
      <c r="I11" s="16">
        <v>6</v>
      </c>
    </row>
    <row r="12" spans="1:9" x14ac:dyDescent="0.25">
      <c r="A12" s="13" t="s">
        <v>333</v>
      </c>
      <c r="B12" s="15">
        <v>2</v>
      </c>
      <c r="C12" s="13">
        <v>4</v>
      </c>
      <c r="D12" s="15">
        <f t="shared" si="0"/>
        <v>8</v>
      </c>
      <c r="E12" s="15">
        <f t="shared" si="1"/>
        <v>0</v>
      </c>
      <c r="F12" s="15">
        <f t="shared" si="2"/>
        <v>8</v>
      </c>
      <c r="H12" t="s">
        <v>334</v>
      </c>
      <c r="I12" s="84">
        <v>0.1</v>
      </c>
    </row>
    <row r="13" spans="1:9" x14ac:dyDescent="0.25">
      <c r="A13" s="13" t="s">
        <v>335</v>
      </c>
      <c r="B13" s="15">
        <v>0.5</v>
      </c>
      <c r="C13" s="13">
        <v>4</v>
      </c>
      <c r="D13" s="15">
        <f t="shared" si="0"/>
        <v>2</v>
      </c>
      <c r="E13" s="15">
        <f t="shared" si="1"/>
        <v>0</v>
      </c>
      <c r="F13" s="15">
        <f t="shared" si="2"/>
        <v>2</v>
      </c>
      <c r="H13" t="s">
        <v>336</v>
      </c>
      <c r="I13" s="84">
        <v>0.05</v>
      </c>
    </row>
    <row r="14" spans="1:9" x14ac:dyDescent="0.25">
      <c r="A14" s="13" t="s">
        <v>337</v>
      </c>
      <c r="B14" s="15">
        <v>2</v>
      </c>
      <c r="C14" s="13">
        <v>1</v>
      </c>
      <c r="D14" s="15">
        <f t="shared" si="0"/>
        <v>2</v>
      </c>
      <c r="E14" s="15">
        <f t="shared" si="1"/>
        <v>0</v>
      </c>
      <c r="F14" s="15">
        <f t="shared" si="2"/>
        <v>2</v>
      </c>
    </row>
    <row r="15" spans="1:9" x14ac:dyDescent="0.25">
      <c r="A15" s="13" t="s">
        <v>338</v>
      </c>
      <c r="B15" s="15">
        <v>5</v>
      </c>
      <c r="C15" s="13">
        <v>25</v>
      </c>
      <c r="D15" s="15">
        <f t="shared" si="0"/>
        <v>125</v>
      </c>
      <c r="E15" s="15">
        <f t="shared" si="1"/>
        <v>12.5</v>
      </c>
      <c r="F15" s="15">
        <f t="shared" si="2"/>
        <v>112.5</v>
      </c>
    </row>
    <row r="16" spans="1:9" x14ac:dyDescent="0.25">
      <c r="A16" s="25" t="s">
        <v>339</v>
      </c>
      <c r="B16" s="85">
        <f>SUM(B4:B15)</f>
        <v>18</v>
      </c>
      <c r="C16" s="86">
        <f t="shared" ref="C16:F16" si="3">SUM(C4:C15)</f>
        <v>94</v>
      </c>
      <c r="D16" s="86"/>
      <c r="E16" s="15">
        <f t="shared" si="1"/>
        <v>0</v>
      </c>
      <c r="F16" s="85">
        <f t="shared" si="3"/>
        <v>186.17500000000001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C5" sqref="C5"/>
    </sheetView>
  </sheetViews>
  <sheetFormatPr defaultRowHeight="15" x14ac:dyDescent="0.25"/>
  <cols>
    <col min="1" max="1" width="14.7109375" customWidth="1"/>
    <col min="2" max="2" width="10.85546875" customWidth="1"/>
    <col min="3" max="3" width="23.140625" customWidth="1"/>
  </cols>
  <sheetData>
    <row r="1" spans="1:3" x14ac:dyDescent="0.25">
      <c r="A1" s="73" t="s">
        <v>280</v>
      </c>
      <c r="B1" s="73"/>
      <c r="C1" s="73"/>
    </row>
    <row r="2" spans="1:3" x14ac:dyDescent="0.25">
      <c r="A2" s="73" t="s">
        <v>281</v>
      </c>
      <c r="B2" s="73"/>
      <c r="C2" s="73"/>
    </row>
    <row r="3" spans="1:3" x14ac:dyDescent="0.25">
      <c r="A3" s="73" t="s">
        <v>282</v>
      </c>
      <c r="B3" s="73"/>
      <c r="C3" s="73"/>
    </row>
    <row r="4" spans="1:3" x14ac:dyDescent="0.25">
      <c r="A4" s="73" t="s">
        <v>283</v>
      </c>
      <c r="B4" s="73"/>
      <c r="C4" s="73"/>
    </row>
    <row r="5" spans="1:3" x14ac:dyDescent="0.25">
      <c r="A5" s="73"/>
      <c r="B5" s="73"/>
      <c r="C5" s="73"/>
    </row>
    <row r="6" spans="1:3" x14ac:dyDescent="0.25">
      <c r="A6" s="73" t="s">
        <v>284</v>
      </c>
      <c r="B6" s="73"/>
      <c r="C6" s="73"/>
    </row>
    <row r="7" spans="1:3" x14ac:dyDescent="0.25">
      <c r="A7" s="73"/>
      <c r="B7" s="73"/>
      <c r="C7" s="73"/>
    </row>
    <row r="8" spans="1:3" x14ac:dyDescent="0.25">
      <c r="A8" s="74" t="s">
        <v>285</v>
      </c>
      <c r="B8" s="74" t="s">
        <v>286</v>
      </c>
      <c r="C8" s="74" t="s">
        <v>287</v>
      </c>
    </row>
    <row r="9" spans="1:3" x14ac:dyDescent="0.25">
      <c r="A9" s="75" t="s">
        <v>7</v>
      </c>
      <c r="B9" s="75">
        <v>78</v>
      </c>
      <c r="C9" s="76" t="str">
        <f>IF(B9&gt;=80,"Excellent",IF(B9&gt;=60,"Good","Failed"))</f>
        <v>Good</v>
      </c>
    </row>
    <row r="10" spans="1:3" x14ac:dyDescent="0.25">
      <c r="A10" s="75" t="s">
        <v>288</v>
      </c>
      <c r="B10" s="75">
        <v>85</v>
      </c>
      <c r="C10" s="76" t="str">
        <f t="shared" ref="C10:C12" si="0">IF(B10&gt;=80,"Excellent",IF(B10&gt;=60,"Good","Failed"))</f>
        <v>Excellent</v>
      </c>
    </row>
    <row r="11" spans="1:3" x14ac:dyDescent="0.25">
      <c r="A11" s="75" t="s">
        <v>289</v>
      </c>
      <c r="B11" s="75">
        <v>44</v>
      </c>
      <c r="C11" s="76" t="str">
        <f t="shared" si="0"/>
        <v>Failed</v>
      </c>
    </row>
    <row r="12" spans="1:3" x14ac:dyDescent="0.25">
      <c r="A12" s="75" t="s">
        <v>290</v>
      </c>
      <c r="B12" s="75">
        <v>61</v>
      </c>
      <c r="C12" s="76" t="str">
        <f t="shared" si="0"/>
        <v>Good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election activeCell="C2" sqref="C2"/>
    </sheetView>
  </sheetViews>
  <sheetFormatPr defaultRowHeight="15" x14ac:dyDescent="0.25"/>
  <cols>
    <col min="1" max="1" width="16.85546875" customWidth="1"/>
    <col min="2" max="2" width="17.140625" customWidth="1"/>
    <col min="3" max="3" width="16" customWidth="1"/>
  </cols>
  <sheetData>
    <row r="1" spans="1:3" ht="18.75" x14ac:dyDescent="0.25">
      <c r="A1" s="77" t="s">
        <v>291</v>
      </c>
      <c r="B1" s="77" t="s">
        <v>153</v>
      </c>
      <c r="C1" s="77" t="s">
        <v>177</v>
      </c>
    </row>
    <row r="2" spans="1:3" ht="15.75" x14ac:dyDescent="0.25">
      <c r="A2" s="78" t="s">
        <v>292</v>
      </c>
      <c r="B2" s="79">
        <v>1046700</v>
      </c>
      <c r="C2" s="80">
        <f>IF(B2&lt;600000,0,IF(B2&lt;=750000,B2*3%,IF(B2&lt;=900000,B2*5%,B2*7%)))</f>
        <v>73269</v>
      </c>
    </row>
    <row r="3" spans="1:3" ht="15.75" x14ac:dyDescent="0.25">
      <c r="A3" s="78" t="s">
        <v>293</v>
      </c>
      <c r="B3" s="79">
        <v>680006</v>
      </c>
      <c r="C3" s="80">
        <f t="shared" ref="C3:C21" si="0">IF(B3&lt;600000,0,IF(B3&lt;=750000,B3*3%,IF(B3&lt;=900000,B3*5%,B3*7%)))</f>
        <v>20400.18</v>
      </c>
    </row>
    <row r="4" spans="1:3" ht="15.75" x14ac:dyDescent="0.25">
      <c r="A4" s="78" t="s">
        <v>294</v>
      </c>
      <c r="B4" s="79">
        <v>727370</v>
      </c>
      <c r="C4" s="80">
        <f t="shared" si="0"/>
        <v>21821.1</v>
      </c>
    </row>
    <row r="5" spans="1:3" ht="15.75" x14ac:dyDescent="0.25">
      <c r="A5" s="78" t="s">
        <v>295</v>
      </c>
      <c r="B5" s="79">
        <v>500543</v>
      </c>
      <c r="C5" s="80">
        <f t="shared" si="0"/>
        <v>0</v>
      </c>
    </row>
    <row r="6" spans="1:3" ht="15.75" x14ac:dyDescent="0.25">
      <c r="A6" s="78" t="s">
        <v>296</v>
      </c>
      <c r="B6" s="79">
        <v>1004356</v>
      </c>
      <c r="C6" s="80">
        <f t="shared" si="0"/>
        <v>70304.920000000013</v>
      </c>
    </row>
    <row r="7" spans="1:3" ht="15.75" x14ac:dyDescent="0.25">
      <c r="A7" s="78" t="s">
        <v>297</v>
      </c>
      <c r="B7" s="79">
        <v>1168017</v>
      </c>
      <c r="C7" s="80">
        <f t="shared" si="0"/>
        <v>81761.19</v>
      </c>
    </row>
    <row r="8" spans="1:3" ht="15.75" x14ac:dyDescent="0.25">
      <c r="A8" s="78" t="s">
        <v>298</v>
      </c>
      <c r="B8" s="79">
        <v>545785</v>
      </c>
      <c r="C8" s="80">
        <f t="shared" si="0"/>
        <v>0</v>
      </c>
    </row>
    <row r="9" spans="1:3" ht="15.75" x14ac:dyDescent="0.25">
      <c r="A9" s="78" t="s">
        <v>299</v>
      </c>
      <c r="B9" s="79">
        <v>755408</v>
      </c>
      <c r="C9" s="80">
        <f t="shared" si="0"/>
        <v>37770.400000000001</v>
      </c>
    </row>
    <row r="10" spans="1:3" ht="15.75" x14ac:dyDescent="0.25">
      <c r="A10" s="78" t="s">
        <v>300</v>
      </c>
      <c r="B10" s="79">
        <v>1100283</v>
      </c>
      <c r="C10" s="80">
        <f t="shared" si="0"/>
        <v>77019.810000000012</v>
      </c>
    </row>
    <row r="11" spans="1:3" ht="15.75" x14ac:dyDescent="0.25">
      <c r="A11" s="78" t="s">
        <v>301</v>
      </c>
      <c r="B11" s="79">
        <v>1132846</v>
      </c>
      <c r="C11" s="80">
        <f t="shared" si="0"/>
        <v>79299.22</v>
      </c>
    </row>
    <row r="12" spans="1:3" ht="15.75" x14ac:dyDescent="0.25">
      <c r="A12" s="78" t="s">
        <v>302</v>
      </c>
      <c r="B12" s="79">
        <v>1101206</v>
      </c>
      <c r="C12" s="80">
        <f t="shared" si="0"/>
        <v>77084.420000000013</v>
      </c>
    </row>
    <row r="13" spans="1:3" ht="15.75" x14ac:dyDescent="0.25">
      <c r="A13" s="78" t="s">
        <v>303</v>
      </c>
      <c r="B13" s="79">
        <v>882264</v>
      </c>
      <c r="C13" s="80">
        <f t="shared" si="0"/>
        <v>44113.200000000004</v>
      </c>
    </row>
    <row r="14" spans="1:3" ht="15.75" x14ac:dyDescent="0.25">
      <c r="A14" s="78" t="s">
        <v>304</v>
      </c>
      <c r="B14" s="79">
        <v>1059305</v>
      </c>
      <c r="C14" s="80">
        <f t="shared" si="0"/>
        <v>74151.350000000006</v>
      </c>
    </row>
    <row r="15" spans="1:3" ht="15.75" x14ac:dyDescent="0.25">
      <c r="A15" s="78" t="s">
        <v>305</v>
      </c>
      <c r="B15" s="79">
        <v>841687</v>
      </c>
      <c r="C15" s="80">
        <f t="shared" si="0"/>
        <v>42084.350000000006</v>
      </c>
    </row>
    <row r="16" spans="1:3" ht="15.75" x14ac:dyDescent="0.25">
      <c r="A16" s="78" t="s">
        <v>306</v>
      </c>
      <c r="B16" s="79">
        <v>634195</v>
      </c>
      <c r="C16" s="80">
        <f t="shared" si="0"/>
        <v>19025.849999999999</v>
      </c>
    </row>
    <row r="17" spans="1:3" ht="15.75" x14ac:dyDescent="0.25">
      <c r="A17" s="78" t="s">
        <v>307</v>
      </c>
      <c r="B17" s="79">
        <v>626240</v>
      </c>
      <c r="C17" s="80">
        <f t="shared" si="0"/>
        <v>18787.2</v>
      </c>
    </row>
    <row r="18" spans="1:3" ht="15.75" x14ac:dyDescent="0.25">
      <c r="A18" s="78" t="s">
        <v>308</v>
      </c>
      <c r="B18" s="79">
        <v>531543</v>
      </c>
      <c r="C18" s="80">
        <f t="shared" si="0"/>
        <v>0</v>
      </c>
    </row>
    <row r="19" spans="1:3" ht="15.75" x14ac:dyDescent="0.25">
      <c r="A19" s="78" t="s">
        <v>309</v>
      </c>
      <c r="B19" s="79">
        <v>888762</v>
      </c>
      <c r="C19" s="80">
        <f t="shared" si="0"/>
        <v>44438.100000000006</v>
      </c>
    </row>
    <row r="20" spans="1:3" ht="15.75" x14ac:dyDescent="0.25">
      <c r="A20" s="78" t="s">
        <v>310</v>
      </c>
      <c r="B20" s="79">
        <v>1137234</v>
      </c>
      <c r="C20" s="80">
        <f t="shared" si="0"/>
        <v>79606.38</v>
      </c>
    </row>
    <row r="21" spans="1:3" ht="15.75" x14ac:dyDescent="0.25">
      <c r="A21" s="78" t="s">
        <v>311</v>
      </c>
      <c r="B21" s="79">
        <v>1039741</v>
      </c>
      <c r="C21" s="80">
        <f t="shared" si="0"/>
        <v>72781.87000000001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8"/>
  <sheetViews>
    <sheetView workbookViewId="0">
      <selection activeCell="D19" sqref="D19"/>
    </sheetView>
  </sheetViews>
  <sheetFormatPr defaultRowHeight="15" x14ac:dyDescent="0.25"/>
  <cols>
    <col min="1" max="1" width="15.5703125" bestFit="1" customWidth="1"/>
    <col min="2" max="2" width="16.28515625" bestFit="1" customWidth="1"/>
    <col min="3" max="3" width="7" customWidth="1"/>
    <col min="4" max="5" width="11.28515625" bestFit="1" customWidth="1"/>
    <col min="6" max="6" width="17.28515625" bestFit="1" customWidth="1"/>
    <col min="7" max="7" width="17" bestFit="1" customWidth="1"/>
    <col min="8" max="8" width="22.28515625" bestFit="1" customWidth="1"/>
    <col min="9" max="15" width="17.28515625" bestFit="1" customWidth="1"/>
    <col min="16" max="16" width="11.28515625" bestFit="1" customWidth="1"/>
  </cols>
  <sheetData>
    <row r="2" spans="1:4" x14ac:dyDescent="0.25">
      <c r="A2" s="88" t="s">
        <v>16</v>
      </c>
      <c r="B2" t="s">
        <v>21</v>
      </c>
    </row>
    <row r="4" spans="1:4" x14ac:dyDescent="0.25">
      <c r="A4" s="88" t="s">
        <v>344</v>
      </c>
      <c r="B4" s="88" t="s">
        <v>342</v>
      </c>
    </row>
    <row r="5" spans="1:4" x14ac:dyDescent="0.25">
      <c r="A5" s="88" t="s">
        <v>340</v>
      </c>
      <c r="B5" t="s">
        <v>26</v>
      </c>
      <c r="C5" t="s">
        <v>65</v>
      </c>
      <c r="D5" t="s">
        <v>341</v>
      </c>
    </row>
    <row r="6" spans="1:4" x14ac:dyDescent="0.25">
      <c r="A6" s="89" t="s">
        <v>25</v>
      </c>
      <c r="B6" s="91">
        <v>1259</v>
      </c>
      <c r="C6" s="91"/>
      <c r="D6" s="91">
        <v>1259</v>
      </c>
    </row>
    <row r="7" spans="1:4" x14ac:dyDescent="0.25">
      <c r="A7" s="89" t="s">
        <v>58</v>
      </c>
      <c r="B7" s="91"/>
      <c r="C7" s="91">
        <v>243.5</v>
      </c>
      <c r="D7" s="91">
        <v>243.5</v>
      </c>
    </row>
    <row r="8" spans="1:4" x14ac:dyDescent="0.25">
      <c r="A8" s="89" t="s">
        <v>341</v>
      </c>
      <c r="B8" s="91">
        <v>1259</v>
      </c>
      <c r="C8" s="91">
        <v>243.5</v>
      </c>
      <c r="D8" s="91">
        <v>582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selection activeCell="A3" sqref="A3"/>
    </sheetView>
  </sheetViews>
  <sheetFormatPr defaultRowHeight="15" x14ac:dyDescent="0.25"/>
  <cols>
    <col min="1" max="1" width="10.140625" customWidth="1"/>
    <col min="2" max="2" width="14.5703125" customWidth="1"/>
    <col min="3" max="3" width="12.5703125" customWidth="1"/>
    <col min="4" max="4" width="16.140625" customWidth="1"/>
    <col min="6" max="6" width="12.140625" customWidth="1"/>
  </cols>
  <sheetData>
    <row r="1" spans="1:6" x14ac:dyDescent="0.25">
      <c r="A1" t="s">
        <v>13</v>
      </c>
      <c r="B1" t="s">
        <v>14</v>
      </c>
      <c r="C1" t="s">
        <v>15</v>
      </c>
      <c r="D1" t="s">
        <v>16</v>
      </c>
      <c r="E1" t="s">
        <v>17</v>
      </c>
      <c r="F1" t="s">
        <v>18</v>
      </c>
    </row>
    <row r="2" spans="1:6" x14ac:dyDescent="0.25">
      <c r="A2" t="s">
        <v>25</v>
      </c>
      <c r="B2" t="s">
        <v>63</v>
      </c>
      <c r="C2">
        <v>16</v>
      </c>
      <c r="D2" t="s">
        <v>21</v>
      </c>
      <c r="E2">
        <v>234</v>
      </c>
      <c r="F2" t="s">
        <v>64</v>
      </c>
    </row>
    <row r="3" spans="1:6" x14ac:dyDescent="0.25">
      <c r="A3" t="s">
        <v>58</v>
      </c>
      <c r="B3" t="s">
        <v>59</v>
      </c>
      <c r="C3">
        <v>8</v>
      </c>
      <c r="D3" t="s">
        <v>21</v>
      </c>
      <c r="E3">
        <v>177</v>
      </c>
      <c r="F3" t="s">
        <v>68</v>
      </c>
    </row>
    <row r="4" spans="1:6" x14ac:dyDescent="0.25">
      <c r="A4" t="s">
        <v>58</v>
      </c>
      <c r="B4" t="s">
        <v>59</v>
      </c>
      <c r="C4">
        <v>7</v>
      </c>
      <c r="D4" t="s">
        <v>33</v>
      </c>
      <c r="E4">
        <v>199</v>
      </c>
      <c r="F4" t="s">
        <v>69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topLeftCell="A10" workbookViewId="0">
      <selection activeCell="A3" sqref="A3:F31"/>
    </sheetView>
  </sheetViews>
  <sheetFormatPr defaultRowHeight="15" x14ac:dyDescent="0.25"/>
  <cols>
    <col min="1" max="1" width="12" bestFit="1" customWidth="1"/>
    <col min="2" max="2" width="17.7109375" bestFit="1" customWidth="1"/>
    <col min="3" max="3" width="13.42578125" bestFit="1" customWidth="1"/>
    <col min="4" max="4" width="17.140625" bestFit="1" customWidth="1"/>
    <col min="5" max="5" width="7.28515625" bestFit="1" customWidth="1"/>
    <col min="6" max="6" width="12.42578125" bestFit="1" customWidth="1"/>
  </cols>
  <sheetData>
    <row r="1" spans="1:6" ht="15.75" x14ac:dyDescent="0.25">
      <c r="A1" s="3" t="s">
        <v>12</v>
      </c>
      <c r="B1" s="4"/>
      <c r="C1" s="4"/>
      <c r="D1" s="4"/>
      <c r="E1" s="4"/>
      <c r="F1" s="4"/>
    </row>
    <row r="2" spans="1:6" x14ac:dyDescent="0.25">
      <c r="A2" s="5"/>
      <c r="B2" s="5"/>
      <c r="C2" s="5"/>
      <c r="D2" s="5"/>
      <c r="E2" s="5"/>
      <c r="F2" s="5"/>
    </row>
    <row r="3" spans="1:6" x14ac:dyDescent="0.25">
      <c r="A3" s="6" t="s">
        <v>13</v>
      </c>
      <c r="B3" s="6" t="s">
        <v>14</v>
      </c>
      <c r="C3" s="6" t="s">
        <v>15</v>
      </c>
      <c r="D3" s="6" t="s">
        <v>16</v>
      </c>
      <c r="E3" s="6" t="s">
        <v>17</v>
      </c>
      <c r="F3" s="6" t="s">
        <v>18</v>
      </c>
    </row>
    <row r="4" spans="1:6" x14ac:dyDescent="0.25">
      <c r="A4" s="7" t="s">
        <v>19</v>
      </c>
      <c r="B4" s="7" t="s">
        <v>20</v>
      </c>
      <c r="C4" s="7">
        <v>32</v>
      </c>
      <c r="D4" s="7" t="s">
        <v>21</v>
      </c>
      <c r="E4" s="8">
        <v>750</v>
      </c>
      <c r="F4" s="7" t="s">
        <v>22</v>
      </c>
    </row>
    <row r="5" spans="1:6" x14ac:dyDescent="0.25">
      <c r="A5" s="7" t="s">
        <v>19</v>
      </c>
      <c r="B5" s="7" t="s">
        <v>23</v>
      </c>
      <c r="C5" s="7">
        <v>28</v>
      </c>
      <c r="D5" s="7" t="s">
        <v>21</v>
      </c>
      <c r="E5" s="8">
        <v>985</v>
      </c>
      <c r="F5" s="7" t="s">
        <v>24</v>
      </c>
    </row>
    <row r="6" spans="1:6" x14ac:dyDescent="0.25">
      <c r="A6" s="7" t="s">
        <v>25</v>
      </c>
      <c r="B6" s="7" t="s">
        <v>26</v>
      </c>
      <c r="C6" s="7">
        <v>21</v>
      </c>
      <c r="D6" s="7" t="s">
        <v>21</v>
      </c>
      <c r="E6" s="8">
        <v>1259</v>
      </c>
      <c r="F6" s="7" t="s">
        <v>27</v>
      </c>
    </row>
    <row r="7" spans="1:6" x14ac:dyDescent="0.25">
      <c r="A7" s="7" t="s">
        <v>28</v>
      </c>
      <c r="B7" s="7" t="s">
        <v>29</v>
      </c>
      <c r="C7" s="7">
        <v>3</v>
      </c>
      <c r="D7" s="7" t="s">
        <v>30</v>
      </c>
      <c r="E7" s="8">
        <v>69</v>
      </c>
      <c r="F7" s="7" t="s">
        <v>31</v>
      </c>
    </row>
    <row r="8" spans="1:6" x14ac:dyDescent="0.25">
      <c r="A8" s="7" t="s">
        <v>28</v>
      </c>
      <c r="B8" s="7" t="s">
        <v>32</v>
      </c>
      <c r="C8" s="7">
        <v>1</v>
      </c>
      <c r="D8" s="7" t="s">
        <v>33</v>
      </c>
      <c r="E8" s="8">
        <v>12</v>
      </c>
      <c r="F8" s="7" t="s">
        <v>34</v>
      </c>
    </row>
    <row r="9" spans="1:6" x14ac:dyDescent="0.25">
      <c r="A9" s="7" t="s">
        <v>35</v>
      </c>
      <c r="B9" s="7" t="s">
        <v>36</v>
      </c>
      <c r="C9" s="7">
        <v>14</v>
      </c>
      <c r="D9" s="7" t="s">
        <v>21</v>
      </c>
      <c r="E9" s="8">
        <v>399</v>
      </c>
      <c r="F9" s="7" t="s">
        <v>37</v>
      </c>
    </row>
    <row r="10" spans="1:6" x14ac:dyDescent="0.25">
      <c r="A10" s="7" t="s">
        <v>35</v>
      </c>
      <c r="B10" s="7" t="s">
        <v>38</v>
      </c>
      <c r="C10" s="7">
        <v>5</v>
      </c>
      <c r="D10" s="7" t="s">
        <v>30</v>
      </c>
      <c r="E10" s="8">
        <v>269</v>
      </c>
      <c r="F10" s="7" t="s">
        <v>39</v>
      </c>
    </row>
    <row r="11" spans="1:6" x14ac:dyDescent="0.25">
      <c r="A11" s="7" t="s">
        <v>35</v>
      </c>
      <c r="B11" s="7" t="s">
        <v>38</v>
      </c>
      <c r="C11" s="7">
        <v>3</v>
      </c>
      <c r="D11" s="7" t="s">
        <v>30</v>
      </c>
      <c r="E11" s="8">
        <v>125</v>
      </c>
      <c r="F11" s="7" t="s">
        <v>40</v>
      </c>
    </row>
    <row r="12" spans="1:6" x14ac:dyDescent="0.25">
      <c r="A12" s="7" t="s">
        <v>35</v>
      </c>
      <c r="B12" s="7" t="s">
        <v>41</v>
      </c>
      <c r="C12" s="7">
        <v>7</v>
      </c>
      <c r="D12" s="7" t="s">
        <v>21</v>
      </c>
      <c r="E12" s="8">
        <v>289</v>
      </c>
      <c r="F12" s="7" t="s">
        <v>42</v>
      </c>
    </row>
    <row r="13" spans="1:6" x14ac:dyDescent="0.25">
      <c r="A13" s="7" t="s">
        <v>35</v>
      </c>
      <c r="B13" s="7" t="s">
        <v>43</v>
      </c>
      <c r="C13" s="7">
        <v>7</v>
      </c>
      <c r="D13" s="7" t="s">
        <v>30</v>
      </c>
      <c r="E13" s="8">
        <v>256</v>
      </c>
      <c r="F13" s="7" t="s">
        <v>44</v>
      </c>
    </row>
    <row r="14" spans="1:6" x14ac:dyDescent="0.25">
      <c r="A14" s="7" t="s">
        <v>35</v>
      </c>
      <c r="B14" s="7" t="s">
        <v>45</v>
      </c>
      <c r="C14" s="7">
        <v>7</v>
      </c>
      <c r="D14" s="7" t="s">
        <v>21</v>
      </c>
      <c r="E14" s="8">
        <v>287</v>
      </c>
      <c r="F14" s="7" t="s">
        <v>46</v>
      </c>
    </row>
    <row r="15" spans="1:6" x14ac:dyDescent="0.25">
      <c r="A15" s="7" t="s">
        <v>47</v>
      </c>
      <c r="B15" s="7" t="s">
        <v>48</v>
      </c>
      <c r="C15" s="7">
        <v>4</v>
      </c>
      <c r="D15" s="7" t="s">
        <v>33</v>
      </c>
      <c r="E15" s="8">
        <v>69</v>
      </c>
      <c r="F15" s="7" t="s">
        <v>49</v>
      </c>
    </row>
    <row r="16" spans="1:6" x14ac:dyDescent="0.25">
      <c r="A16" s="7" t="s">
        <v>47</v>
      </c>
      <c r="B16" s="7" t="s">
        <v>50</v>
      </c>
      <c r="C16" s="7">
        <v>7</v>
      </c>
      <c r="D16" s="7" t="s">
        <v>33</v>
      </c>
      <c r="E16" s="8">
        <v>289</v>
      </c>
      <c r="F16" s="7" t="s">
        <v>51</v>
      </c>
    </row>
    <row r="17" spans="1:6" x14ac:dyDescent="0.25">
      <c r="A17" s="7" t="s">
        <v>52</v>
      </c>
      <c r="B17" s="7" t="s">
        <v>53</v>
      </c>
      <c r="C17" s="7">
        <v>21</v>
      </c>
      <c r="D17" s="7" t="s">
        <v>21</v>
      </c>
      <c r="E17" s="8">
        <v>975</v>
      </c>
      <c r="F17" s="7" t="s">
        <v>54</v>
      </c>
    </row>
    <row r="18" spans="1:6" x14ac:dyDescent="0.25">
      <c r="A18" s="7" t="s">
        <v>55</v>
      </c>
      <c r="B18" s="7" t="s">
        <v>56</v>
      </c>
      <c r="C18" s="7">
        <v>14</v>
      </c>
      <c r="D18" s="7" t="s">
        <v>21</v>
      </c>
      <c r="E18" s="8">
        <v>995</v>
      </c>
      <c r="F18" s="7" t="s">
        <v>57</v>
      </c>
    </row>
    <row r="19" spans="1:6" x14ac:dyDescent="0.25">
      <c r="A19" s="7" t="s">
        <v>58</v>
      </c>
      <c r="B19" s="7" t="s">
        <v>59</v>
      </c>
      <c r="C19" s="7">
        <v>4</v>
      </c>
      <c r="D19" s="7" t="s">
        <v>30</v>
      </c>
      <c r="E19" s="8">
        <v>219</v>
      </c>
      <c r="F19" s="7" t="s">
        <v>60</v>
      </c>
    </row>
    <row r="20" spans="1:6" x14ac:dyDescent="0.25">
      <c r="A20" s="7" t="s">
        <v>58</v>
      </c>
      <c r="B20" s="7" t="s">
        <v>61</v>
      </c>
      <c r="C20" s="7">
        <v>6</v>
      </c>
      <c r="D20" s="7" t="s">
        <v>21</v>
      </c>
      <c r="E20" s="8">
        <v>198</v>
      </c>
      <c r="F20" s="7" t="s">
        <v>62</v>
      </c>
    </row>
    <row r="21" spans="1:6" x14ac:dyDescent="0.25">
      <c r="A21" s="7" t="s">
        <v>58</v>
      </c>
      <c r="B21" s="7" t="s">
        <v>63</v>
      </c>
      <c r="C21" s="7">
        <v>16</v>
      </c>
      <c r="D21" s="7" t="s">
        <v>21</v>
      </c>
      <c r="E21" s="8">
        <v>234</v>
      </c>
      <c r="F21" s="7" t="s">
        <v>64</v>
      </c>
    </row>
    <row r="22" spans="1:6" x14ac:dyDescent="0.25">
      <c r="A22" s="7" t="s">
        <v>58</v>
      </c>
      <c r="B22" s="7" t="s">
        <v>65</v>
      </c>
      <c r="C22" s="7">
        <v>14</v>
      </c>
      <c r="D22" s="7" t="s">
        <v>21</v>
      </c>
      <c r="E22" s="8">
        <v>288</v>
      </c>
      <c r="F22" s="7" t="s">
        <v>66</v>
      </c>
    </row>
    <row r="23" spans="1:6" x14ac:dyDescent="0.25">
      <c r="A23" s="7" t="s">
        <v>58</v>
      </c>
      <c r="B23" s="7" t="s">
        <v>65</v>
      </c>
      <c r="C23" s="7">
        <v>10</v>
      </c>
      <c r="D23" s="7" t="s">
        <v>21</v>
      </c>
      <c r="E23" s="8">
        <v>199</v>
      </c>
      <c r="F23" s="7" t="s">
        <v>67</v>
      </c>
    </row>
    <row r="24" spans="1:6" x14ac:dyDescent="0.25">
      <c r="A24" s="7" t="s">
        <v>58</v>
      </c>
      <c r="B24" s="7" t="s">
        <v>59</v>
      </c>
      <c r="C24" s="7">
        <v>8</v>
      </c>
      <c r="D24" s="7" t="s">
        <v>21</v>
      </c>
      <c r="E24" s="8">
        <v>177</v>
      </c>
      <c r="F24" s="7" t="s">
        <v>68</v>
      </c>
    </row>
    <row r="25" spans="1:6" x14ac:dyDescent="0.25">
      <c r="A25" s="7" t="s">
        <v>58</v>
      </c>
      <c r="B25" s="7" t="s">
        <v>59</v>
      </c>
      <c r="C25" s="7">
        <v>7</v>
      </c>
      <c r="D25" s="7" t="s">
        <v>33</v>
      </c>
      <c r="E25" s="8">
        <v>199</v>
      </c>
      <c r="F25" s="7" t="s">
        <v>69</v>
      </c>
    </row>
    <row r="26" spans="1:6" x14ac:dyDescent="0.25">
      <c r="A26" s="7" t="s">
        <v>58</v>
      </c>
      <c r="B26" s="7" t="s">
        <v>63</v>
      </c>
      <c r="C26" s="7">
        <v>14</v>
      </c>
      <c r="D26" s="7" t="s">
        <v>21</v>
      </c>
      <c r="E26" s="8">
        <v>301</v>
      </c>
      <c r="F26" s="7" t="s">
        <v>70</v>
      </c>
    </row>
    <row r="27" spans="1:6" x14ac:dyDescent="0.25">
      <c r="A27" s="7" t="s">
        <v>58</v>
      </c>
      <c r="B27" s="7" t="s">
        <v>59</v>
      </c>
      <c r="C27" s="7">
        <v>4</v>
      </c>
      <c r="D27" s="7" t="s">
        <v>30</v>
      </c>
      <c r="E27" s="8">
        <v>219</v>
      </c>
      <c r="F27" s="7" t="s">
        <v>60</v>
      </c>
    </row>
    <row r="28" spans="1:6" x14ac:dyDescent="0.25">
      <c r="A28" s="7" t="s">
        <v>58</v>
      </c>
      <c r="B28" s="7" t="s">
        <v>65</v>
      </c>
      <c r="C28" s="7">
        <v>14</v>
      </c>
      <c r="D28" s="7" t="s">
        <v>30</v>
      </c>
      <c r="E28" s="8">
        <v>299</v>
      </c>
      <c r="F28" s="7" t="s">
        <v>71</v>
      </c>
    </row>
    <row r="29" spans="1:6" x14ac:dyDescent="0.25">
      <c r="A29" s="7" t="s">
        <v>58</v>
      </c>
      <c r="B29" s="7" t="s">
        <v>72</v>
      </c>
      <c r="C29" s="7">
        <v>8</v>
      </c>
      <c r="D29" s="7" t="s">
        <v>21</v>
      </c>
      <c r="E29" s="8">
        <v>277</v>
      </c>
      <c r="F29" s="7" t="s">
        <v>73</v>
      </c>
    </row>
    <row r="30" spans="1:6" x14ac:dyDescent="0.25">
      <c r="A30" s="7" t="s">
        <v>58</v>
      </c>
      <c r="B30" s="7" t="s">
        <v>74</v>
      </c>
      <c r="C30" s="7">
        <v>10</v>
      </c>
      <c r="D30" s="7" t="s">
        <v>21</v>
      </c>
      <c r="E30" s="8">
        <v>345</v>
      </c>
      <c r="F30" s="7" t="s">
        <v>75</v>
      </c>
    </row>
    <row r="31" spans="1:6" x14ac:dyDescent="0.25">
      <c r="A31" s="7" t="s">
        <v>76</v>
      </c>
      <c r="B31" s="7" t="s">
        <v>77</v>
      </c>
      <c r="C31" s="7">
        <v>14</v>
      </c>
      <c r="D31" s="7" t="s">
        <v>21</v>
      </c>
      <c r="E31" s="8">
        <v>885</v>
      </c>
      <c r="F31" s="7" t="s">
        <v>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zoomScale="99" zoomScaleNormal="99" workbookViewId="0">
      <selection activeCell="A2" sqref="A2:E26"/>
    </sheetView>
  </sheetViews>
  <sheetFormatPr defaultRowHeight="15" x14ac:dyDescent="0.25"/>
  <cols>
    <col min="1" max="1" width="27.42578125" bestFit="1" customWidth="1"/>
    <col min="2" max="2" width="16.42578125" customWidth="1"/>
    <col min="3" max="3" width="11" customWidth="1"/>
    <col min="4" max="4" width="10.7109375" customWidth="1"/>
    <col min="5" max="5" width="11.42578125" customWidth="1"/>
    <col min="6" max="6" width="7.42578125" customWidth="1"/>
    <col min="7" max="7" width="13.85546875" bestFit="1" customWidth="1"/>
    <col min="8" max="8" width="11.28515625" customWidth="1"/>
    <col min="9" max="9" width="9.5703125" customWidth="1"/>
    <col min="10" max="10" width="7.28515625" customWidth="1"/>
    <col min="11" max="11" width="12.5703125" bestFit="1" customWidth="1"/>
    <col min="12" max="12" width="10.7109375" bestFit="1" customWidth="1"/>
    <col min="13" max="13" width="7.28515625" customWidth="1"/>
    <col min="14" max="14" width="13.85546875" bestFit="1" customWidth="1"/>
    <col min="15" max="15" width="11" bestFit="1" customWidth="1"/>
    <col min="16" max="16" width="9.5703125" bestFit="1" customWidth="1"/>
    <col min="17" max="17" width="7.28515625" customWidth="1"/>
    <col min="18" max="18" width="12.5703125" bestFit="1" customWidth="1"/>
    <col min="19" max="19" width="10.7109375" bestFit="1" customWidth="1"/>
    <col min="20" max="20" width="7.28515625" customWidth="1"/>
    <col min="21" max="21" width="13.85546875" bestFit="1" customWidth="1"/>
    <col min="22" max="22" width="11" bestFit="1" customWidth="1"/>
    <col min="23" max="23" width="11.28515625" bestFit="1" customWidth="1"/>
  </cols>
  <sheetData>
    <row r="1" spans="1:5" x14ac:dyDescent="0.25">
      <c r="A1" s="88" t="s">
        <v>162</v>
      </c>
      <c r="B1" t="s">
        <v>345</v>
      </c>
    </row>
    <row r="3" spans="1:5" x14ac:dyDescent="0.25">
      <c r="A3" s="88" t="s">
        <v>343</v>
      </c>
      <c r="B3" s="88" t="s">
        <v>342</v>
      </c>
    </row>
    <row r="4" spans="1:5" x14ac:dyDescent="0.25">
      <c r="A4" s="88" t="s">
        <v>340</v>
      </c>
      <c r="B4" t="s">
        <v>163</v>
      </c>
      <c r="C4" t="s">
        <v>169</v>
      </c>
      <c r="D4" t="s">
        <v>171</v>
      </c>
      <c r="E4" t="s">
        <v>341</v>
      </c>
    </row>
    <row r="5" spans="1:5" x14ac:dyDescent="0.25">
      <c r="A5" s="89" t="s">
        <v>170</v>
      </c>
      <c r="B5" s="91">
        <v>82</v>
      </c>
      <c r="C5" s="91">
        <v>86</v>
      </c>
      <c r="D5" s="91">
        <v>59</v>
      </c>
      <c r="E5" s="91">
        <v>227</v>
      </c>
    </row>
    <row r="6" spans="1:5" x14ac:dyDescent="0.25">
      <c r="A6" s="90" t="s">
        <v>165</v>
      </c>
      <c r="B6" s="91">
        <v>45</v>
      </c>
      <c r="C6" s="91">
        <v>41</v>
      </c>
      <c r="D6" s="91">
        <v>28</v>
      </c>
      <c r="E6" s="91">
        <v>114</v>
      </c>
    </row>
    <row r="7" spans="1:5" x14ac:dyDescent="0.25">
      <c r="A7" s="92" t="s">
        <v>166</v>
      </c>
      <c r="B7" s="91">
        <v>25</v>
      </c>
      <c r="C7" s="91">
        <v>15</v>
      </c>
      <c r="D7" s="91">
        <v>18</v>
      </c>
      <c r="E7" s="91">
        <v>58</v>
      </c>
    </row>
    <row r="8" spans="1:5" x14ac:dyDescent="0.25">
      <c r="A8" s="92" t="s">
        <v>167</v>
      </c>
      <c r="B8" s="91">
        <v>20</v>
      </c>
      <c r="C8" s="91">
        <v>26</v>
      </c>
      <c r="D8" s="91">
        <v>10</v>
      </c>
      <c r="E8" s="91">
        <v>56</v>
      </c>
    </row>
    <row r="9" spans="1:5" x14ac:dyDescent="0.25">
      <c r="A9" s="90" t="s">
        <v>168</v>
      </c>
      <c r="B9" s="91">
        <v>37</v>
      </c>
      <c r="C9" s="91">
        <v>45</v>
      </c>
      <c r="D9" s="91">
        <v>31</v>
      </c>
      <c r="E9" s="91">
        <v>113</v>
      </c>
    </row>
    <row r="10" spans="1:5" x14ac:dyDescent="0.25">
      <c r="A10" s="92" t="s">
        <v>166</v>
      </c>
      <c r="B10" s="91">
        <v>15</v>
      </c>
      <c r="C10" s="91">
        <v>35</v>
      </c>
      <c r="D10" s="91">
        <v>15</v>
      </c>
      <c r="E10" s="91">
        <v>65</v>
      </c>
    </row>
    <row r="11" spans="1:5" x14ac:dyDescent="0.25">
      <c r="A11" s="92" t="s">
        <v>167</v>
      </c>
      <c r="B11" s="91">
        <v>22</v>
      </c>
      <c r="C11" s="91">
        <v>10</v>
      </c>
      <c r="D11" s="91">
        <v>16</v>
      </c>
      <c r="E11" s="91">
        <v>48</v>
      </c>
    </row>
    <row r="12" spans="1:5" x14ac:dyDescent="0.25">
      <c r="A12" s="89" t="s">
        <v>172</v>
      </c>
      <c r="B12" s="91">
        <v>82</v>
      </c>
      <c r="C12" s="91">
        <v>86</v>
      </c>
      <c r="D12" s="91">
        <v>59</v>
      </c>
      <c r="E12" s="91">
        <v>227</v>
      </c>
    </row>
    <row r="13" spans="1:5" x14ac:dyDescent="0.25">
      <c r="A13" s="90" t="s">
        <v>165</v>
      </c>
      <c r="B13" s="91">
        <v>45</v>
      </c>
      <c r="C13" s="91">
        <v>41</v>
      </c>
      <c r="D13" s="91">
        <v>28</v>
      </c>
      <c r="E13" s="91">
        <v>114</v>
      </c>
    </row>
    <row r="14" spans="1:5" x14ac:dyDescent="0.25">
      <c r="A14" s="92" t="s">
        <v>166</v>
      </c>
      <c r="B14" s="91">
        <v>25</v>
      </c>
      <c r="C14" s="91">
        <v>15</v>
      </c>
      <c r="D14" s="91">
        <v>18</v>
      </c>
      <c r="E14" s="91">
        <v>58</v>
      </c>
    </row>
    <row r="15" spans="1:5" x14ac:dyDescent="0.25">
      <c r="A15" s="92" t="s">
        <v>167</v>
      </c>
      <c r="B15" s="91">
        <v>20</v>
      </c>
      <c r="C15" s="91">
        <v>26</v>
      </c>
      <c r="D15" s="91">
        <v>10</v>
      </c>
      <c r="E15" s="91">
        <v>56</v>
      </c>
    </row>
    <row r="16" spans="1:5" x14ac:dyDescent="0.25">
      <c r="A16" s="90" t="s">
        <v>168</v>
      </c>
      <c r="B16" s="91">
        <v>37</v>
      </c>
      <c r="C16" s="91">
        <v>45</v>
      </c>
      <c r="D16" s="91">
        <v>31</v>
      </c>
      <c r="E16" s="91">
        <v>113</v>
      </c>
    </row>
    <row r="17" spans="1:5" x14ac:dyDescent="0.25">
      <c r="A17" s="92" t="s">
        <v>166</v>
      </c>
      <c r="B17" s="91">
        <v>15</v>
      </c>
      <c r="C17" s="91">
        <v>35</v>
      </c>
      <c r="D17" s="91">
        <v>15</v>
      </c>
      <c r="E17" s="91">
        <v>65</v>
      </c>
    </row>
    <row r="18" spans="1:5" x14ac:dyDescent="0.25">
      <c r="A18" s="92" t="s">
        <v>167</v>
      </c>
      <c r="B18" s="91">
        <v>22</v>
      </c>
      <c r="C18" s="91">
        <v>10</v>
      </c>
      <c r="D18" s="91">
        <v>16</v>
      </c>
      <c r="E18" s="91">
        <v>48</v>
      </c>
    </row>
    <row r="19" spans="1:5" x14ac:dyDescent="0.25">
      <c r="A19" s="89" t="s">
        <v>164</v>
      </c>
      <c r="B19" s="91">
        <v>82</v>
      </c>
      <c r="C19" s="91">
        <v>86</v>
      </c>
      <c r="D19" s="91">
        <v>59</v>
      </c>
      <c r="E19" s="91">
        <v>227</v>
      </c>
    </row>
    <row r="20" spans="1:5" x14ac:dyDescent="0.25">
      <c r="A20" s="90" t="s">
        <v>165</v>
      </c>
      <c r="B20" s="91">
        <v>45</v>
      </c>
      <c r="C20" s="91">
        <v>41</v>
      </c>
      <c r="D20" s="91">
        <v>28</v>
      </c>
      <c r="E20" s="91">
        <v>114</v>
      </c>
    </row>
    <row r="21" spans="1:5" x14ac:dyDescent="0.25">
      <c r="A21" s="92" t="s">
        <v>166</v>
      </c>
      <c r="B21" s="91">
        <v>25</v>
      </c>
      <c r="C21" s="91">
        <v>15</v>
      </c>
      <c r="D21" s="91">
        <v>18</v>
      </c>
      <c r="E21" s="91">
        <v>58</v>
      </c>
    </row>
    <row r="22" spans="1:5" x14ac:dyDescent="0.25">
      <c r="A22" s="92" t="s">
        <v>167</v>
      </c>
      <c r="B22" s="91">
        <v>20</v>
      </c>
      <c r="C22" s="91">
        <v>26</v>
      </c>
      <c r="D22" s="91">
        <v>10</v>
      </c>
      <c r="E22" s="91">
        <v>56</v>
      </c>
    </row>
    <row r="23" spans="1:5" x14ac:dyDescent="0.25">
      <c r="A23" s="90" t="s">
        <v>168</v>
      </c>
      <c r="B23" s="91">
        <v>37</v>
      </c>
      <c r="C23" s="91">
        <v>45</v>
      </c>
      <c r="D23" s="91">
        <v>31</v>
      </c>
      <c r="E23" s="91">
        <v>113</v>
      </c>
    </row>
    <row r="24" spans="1:5" x14ac:dyDescent="0.25">
      <c r="A24" s="92" t="s">
        <v>166</v>
      </c>
      <c r="B24" s="91">
        <v>15</v>
      </c>
      <c r="C24" s="91">
        <v>35</v>
      </c>
      <c r="D24" s="91">
        <v>15</v>
      </c>
      <c r="E24" s="91">
        <v>65</v>
      </c>
    </row>
    <row r="25" spans="1:5" x14ac:dyDescent="0.25">
      <c r="A25" s="92" t="s">
        <v>167</v>
      </c>
      <c r="B25" s="91">
        <v>22</v>
      </c>
      <c r="C25" s="91">
        <v>10</v>
      </c>
      <c r="D25" s="91">
        <v>16</v>
      </c>
      <c r="E25" s="91">
        <v>48</v>
      </c>
    </row>
    <row r="26" spans="1:5" x14ac:dyDescent="0.25">
      <c r="A26" s="89" t="s">
        <v>341</v>
      </c>
      <c r="B26" s="91">
        <v>246</v>
      </c>
      <c r="C26" s="91">
        <v>258</v>
      </c>
      <c r="D26" s="91">
        <v>177</v>
      </c>
      <c r="E26" s="91">
        <v>681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topLeftCell="A21" workbookViewId="0">
      <selection activeCell="G4" sqref="G4"/>
    </sheetView>
  </sheetViews>
  <sheetFormatPr defaultRowHeight="15" x14ac:dyDescent="0.25"/>
  <cols>
    <col min="1" max="2" width="15" customWidth="1"/>
    <col min="3" max="3" width="12.5703125" customWidth="1"/>
    <col min="4" max="4" width="12.42578125" customWidth="1"/>
    <col min="5" max="5" width="13.28515625" customWidth="1"/>
    <col min="6" max="6" width="25.5703125" customWidth="1"/>
    <col min="7" max="7" width="17.85546875" customWidth="1"/>
  </cols>
  <sheetData>
    <row r="1" spans="1:7" x14ac:dyDescent="0.25">
      <c r="A1" s="93" t="s">
        <v>155</v>
      </c>
      <c r="B1" s="93"/>
      <c r="C1" s="93"/>
      <c r="D1" s="93"/>
      <c r="E1" s="93"/>
      <c r="F1" s="93"/>
      <c r="G1" s="93"/>
    </row>
    <row r="2" spans="1:7" ht="15.75" thickBot="1" x14ac:dyDescent="0.3"/>
    <row r="3" spans="1:7" ht="15.75" thickBot="1" x14ac:dyDescent="0.3">
      <c r="A3" s="32" t="s">
        <v>156</v>
      </c>
      <c r="B3" s="33" t="s">
        <v>157</v>
      </c>
      <c r="C3" s="33" t="s">
        <v>158</v>
      </c>
      <c r="D3" s="33" t="s">
        <v>159</v>
      </c>
      <c r="E3" s="33" t="s">
        <v>160</v>
      </c>
      <c r="F3" s="33" t="s">
        <v>161</v>
      </c>
      <c r="G3" s="34" t="s">
        <v>162</v>
      </c>
    </row>
    <row r="4" spans="1:7" x14ac:dyDescent="0.25">
      <c r="A4" s="35" t="s">
        <v>163</v>
      </c>
      <c r="B4" s="36" t="s">
        <v>164</v>
      </c>
      <c r="C4" s="36" t="s">
        <v>165</v>
      </c>
      <c r="D4" s="36" t="s">
        <v>166</v>
      </c>
      <c r="E4" s="37">
        <v>85000</v>
      </c>
      <c r="F4" s="36">
        <v>25</v>
      </c>
      <c r="G4" s="38">
        <f>F4*E4</f>
        <v>2125000</v>
      </c>
    </row>
    <row r="5" spans="1:7" x14ac:dyDescent="0.25">
      <c r="A5" s="39" t="s">
        <v>163</v>
      </c>
      <c r="B5" s="13" t="s">
        <v>164</v>
      </c>
      <c r="C5" s="13" t="s">
        <v>165</v>
      </c>
      <c r="D5" s="13" t="s">
        <v>167</v>
      </c>
      <c r="E5" s="40">
        <v>100000</v>
      </c>
      <c r="F5" s="13">
        <v>20</v>
      </c>
      <c r="G5" s="41">
        <f t="shared" ref="G5:G7" si="0">F5*E5</f>
        <v>2000000</v>
      </c>
    </row>
    <row r="6" spans="1:7" x14ac:dyDescent="0.25">
      <c r="A6" s="39" t="s">
        <v>163</v>
      </c>
      <c r="B6" s="13" t="s">
        <v>164</v>
      </c>
      <c r="C6" s="13" t="s">
        <v>168</v>
      </c>
      <c r="D6" s="13" t="s">
        <v>166</v>
      </c>
      <c r="E6" s="40">
        <v>85000</v>
      </c>
      <c r="F6" s="13">
        <v>15</v>
      </c>
      <c r="G6" s="41">
        <f t="shared" si="0"/>
        <v>1275000</v>
      </c>
    </row>
    <row r="7" spans="1:7" x14ac:dyDescent="0.25">
      <c r="A7" s="39" t="s">
        <v>163</v>
      </c>
      <c r="B7" s="13" t="s">
        <v>164</v>
      </c>
      <c r="C7" s="13" t="s">
        <v>168</v>
      </c>
      <c r="D7" s="13" t="s">
        <v>167</v>
      </c>
      <c r="E7" s="40">
        <v>100000</v>
      </c>
      <c r="F7" s="13">
        <v>22</v>
      </c>
      <c r="G7" s="41">
        <f t="shared" si="0"/>
        <v>2200000</v>
      </c>
    </row>
    <row r="8" spans="1:7" x14ac:dyDescent="0.25">
      <c r="A8" s="39" t="s">
        <v>169</v>
      </c>
      <c r="B8" s="13" t="s">
        <v>170</v>
      </c>
      <c r="C8" s="13" t="s">
        <v>165</v>
      </c>
      <c r="D8" s="13" t="s">
        <v>166</v>
      </c>
      <c r="E8" s="40">
        <v>85000</v>
      </c>
      <c r="F8" s="13">
        <v>15</v>
      </c>
      <c r="G8" s="41">
        <f>F8*E8</f>
        <v>1275000</v>
      </c>
    </row>
    <row r="9" spans="1:7" x14ac:dyDescent="0.25">
      <c r="A9" s="39" t="s">
        <v>169</v>
      </c>
      <c r="B9" s="13" t="s">
        <v>170</v>
      </c>
      <c r="C9" s="13" t="s">
        <v>165</v>
      </c>
      <c r="D9" s="13" t="s">
        <v>167</v>
      </c>
      <c r="E9" s="40">
        <v>100000</v>
      </c>
      <c r="F9" s="13">
        <v>26</v>
      </c>
      <c r="G9" s="41">
        <f t="shared" ref="G9:G11" si="1">F9*E9</f>
        <v>2600000</v>
      </c>
    </row>
    <row r="10" spans="1:7" x14ac:dyDescent="0.25">
      <c r="A10" s="39" t="s">
        <v>169</v>
      </c>
      <c r="B10" s="13" t="s">
        <v>170</v>
      </c>
      <c r="C10" s="13" t="s">
        <v>168</v>
      </c>
      <c r="D10" s="13" t="s">
        <v>166</v>
      </c>
      <c r="E10" s="40">
        <v>85000</v>
      </c>
      <c r="F10" s="13">
        <v>35</v>
      </c>
      <c r="G10" s="41">
        <f t="shared" si="1"/>
        <v>2975000</v>
      </c>
    </row>
    <row r="11" spans="1:7" x14ac:dyDescent="0.25">
      <c r="A11" s="39" t="s">
        <v>169</v>
      </c>
      <c r="B11" s="13" t="s">
        <v>170</v>
      </c>
      <c r="C11" s="13" t="s">
        <v>168</v>
      </c>
      <c r="D11" s="13" t="s">
        <v>167</v>
      </c>
      <c r="E11" s="40">
        <v>100000</v>
      </c>
      <c r="F11" s="13">
        <v>10</v>
      </c>
      <c r="G11" s="41">
        <f t="shared" si="1"/>
        <v>1000000</v>
      </c>
    </row>
    <row r="12" spans="1:7" x14ac:dyDescent="0.25">
      <c r="A12" s="39" t="s">
        <v>171</v>
      </c>
      <c r="B12" s="13" t="s">
        <v>172</v>
      </c>
      <c r="C12" s="13" t="s">
        <v>165</v>
      </c>
      <c r="D12" s="13" t="s">
        <v>166</v>
      </c>
      <c r="E12" s="40">
        <v>85000</v>
      </c>
      <c r="F12" s="13">
        <v>18</v>
      </c>
      <c r="G12" s="41">
        <f>F12*E12</f>
        <v>1530000</v>
      </c>
    </row>
    <row r="13" spans="1:7" x14ac:dyDescent="0.25">
      <c r="A13" s="39" t="s">
        <v>171</v>
      </c>
      <c r="B13" s="13" t="s">
        <v>172</v>
      </c>
      <c r="C13" s="13" t="s">
        <v>165</v>
      </c>
      <c r="D13" s="13" t="s">
        <v>167</v>
      </c>
      <c r="E13" s="40">
        <v>100000</v>
      </c>
      <c r="F13" s="13">
        <v>10</v>
      </c>
      <c r="G13" s="41">
        <f t="shared" ref="G13:G15" si="2">F13*E13</f>
        <v>1000000</v>
      </c>
    </row>
    <row r="14" spans="1:7" x14ac:dyDescent="0.25">
      <c r="A14" s="39" t="s">
        <v>171</v>
      </c>
      <c r="B14" s="13" t="s">
        <v>172</v>
      </c>
      <c r="C14" s="13" t="s">
        <v>168</v>
      </c>
      <c r="D14" s="13" t="s">
        <v>166</v>
      </c>
      <c r="E14" s="40">
        <v>85000</v>
      </c>
      <c r="F14" s="13">
        <v>15</v>
      </c>
      <c r="G14" s="41">
        <f t="shared" si="2"/>
        <v>1275000</v>
      </c>
    </row>
    <row r="15" spans="1:7" x14ac:dyDescent="0.25">
      <c r="A15" s="39" t="s">
        <v>171</v>
      </c>
      <c r="B15" s="13" t="s">
        <v>172</v>
      </c>
      <c r="C15" s="13" t="s">
        <v>168</v>
      </c>
      <c r="D15" s="13" t="s">
        <v>167</v>
      </c>
      <c r="E15" s="40">
        <v>100000</v>
      </c>
      <c r="F15" s="13">
        <v>16</v>
      </c>
      <c r="G15" s="41">
        <f t="shared" si="2"/>
        <v>1600000</v>
      </c>
    </row>
    <row r="16" spans="1:7" x14ac:dyDescent="0.25">
      <c r="A16" s="39" t="s">
        <v>163</v>
      </c>
      <c r="B16" s="13" t="s">
        <v>172</v>
      </c>
      <c r="C16" s="13" t="s">
        <v>165</v>
      </c>
      <c r="D16" s="13" t="s">
        <v>166</v>
      </c>
      <c r="E16" s="40">
        <v>85000</v>
      </c>
      <c r="F16" s="13">
        <v>25</v>
      </c>
      <c r="G16" s="41">
        <f>F16*E16</f>
        <v>2125000</v>
      </c>
    </row>
    <row r="17" spans="1:7" x14ac:dyDescent="0.25">
      <c r="A17" s="39" t="s">
        <v>163</v>
      </c>
      <c r="B17" s="13" t="s">
        <v>172</v>
      </c>
      <c r="C17" s="13" t="s">
        <v>165</v>
      </c>
      <c r="D17" s="13" t="s">
        <v>167</v>
      </c>
      <c r="E17" s="40">
        <v>100000</v>
      </c>
      <c r="F17" s="13">
        <v>20</v>
      </c>
      <c r="G17" s="41">
        <f t="shared" ref="G17:G19" si="3">F17*E17</f>
        <v>2000000</v>
      </c>
    </row>
    <row r="18" spans="1:7" x14ac:dyDescent="0.25">
      <c r="A18" s="39" t="s">
        <v>163</v>
      </c>
      <c r="B18" s="13" t="s">
        <v>172</v>
      </c>
      <c r="C18" s="13" t="s">
        <v>168</v>
      </c>
      <c r="D18" s="13" t="s">
        <v>166</v>
      </c>
      <c r="E18" s="40">
        <v>85000</v>
      </c>
      <c r="F18" s="13">
        <v>15</v>
      </c>
      <c r="G18" s="41">
        <f t="shared" si="3"/>
        <v>1275000</v>
      </c>
    </row>
    <row r="19" spans="1:7" x14ac:dyDescent="0.25">
      <c r="A19" s="39" t="s">
        <v>163</v>
      </c>
      <c r="B19" s="13" t="s">
        <v>172</v>
      </c>
      <c r="C19" s="13" t="s">
        <v>168</v>
      </c>
      <c r="D19" s="13" t="s">
        <v>167</v>
      </c>
      <c r="E19" s="40">
        <v>100000</v>
      </c>
      <c r="F19" s="13">
        <v>22</v>
      </c>
      <c r="G19" s="41">
        <f t="shared" si="3"/>
        <v>2200000</v>
      </c>
    </row>
    <row r="20" spans="1:7" x14ac:dyDescent="0.25">
      <c r="A20" s="39" t="s">
        <v>169</v>
      </c>
      <c r="B20" s="13" t="s">
        <v>164</v>
      </c>
      <c r="C20" s="13" t="s">
        <v>165</v>
      </c>
      <c r="D20" s="13" t="s">
        <v>166</v>
      </c>
      <c r="E20" s="40">
        <v>85000</v>
      </c>
      <c r="F20" s="13">
        <v>15</v>
      </c>
      <c r="G20" s="41">
        <f>F20*E20</f>
        <v>1275000</v>
      </c>
    </row>
    <row r="21" spans="1:7" x14ac:dyDescent="0.25">
      <c r="A21" s="39" t="s">
        <v>169</v>
      </c>
      <c r="B21" s="13" t="s">
        <v>164</v>
      </c>
      <c r="C21" s="13" t="s">
        <v>165</v>
      </c>
      <c r="D21" s="13" t="s">
        <v>167</v>
      </c>
      <c r="E21" s="40">
        <v>100000</v>
      </c>
      <c r="F21" s="13">
        <v>26</v>
      </c>
      <c r="G21" s="41">
        <f t="shared" ref="G21:G23" si="4">F21*E21</f>
        <v>2600000</v>
      </c>
    </row>
    <row r="22" spans="1:7" x14ac:dyDescent="0.25">
      <c r="A22" s="39" t="s">
        <v>169</v>
      </c>
      <c r="B22" s="13" t="s">
        <v>164</v>
      </c>
      <c r="C22" s="13" t="s">
        <v>168</v>
      </c>
      <c r="D22" s="13" t="s">
        <v>166</v>
      </c>
      <c r="E22" s="40">
        <v>85000</v>
      </c>
      <c r="F22" s="13">
        <v>35</v>
      </c>
      <c r="G22" s="41">
        <f t="shared" si="4"/>
        <v>2975000</v>
      </c>
    </row>
    <row r="23" spans="1:7" x14ac:dyDescent="0.25">
      <c r="A23" s="39" t="s">
        <v>169</v>
      </c>
      <c r="B23" s="13" t="s">
        <v>164</v>
      </c>
      <c r="C23" s="13" t="s">
        <v>168</v>
      </c>
      <c r="D23" s="13" t="s">
        <v>167</v>
      </c>
      <c r="E23" s="40">
        <v>100000</v>
      </c>
      <c r="F23" s="13">
        <v>10</v>
      </c>
      <c r="G23" s="41">
        <f t="shared" si="4"/>
        <v>1000000</v>
      </c>
    </row>
    <row r="24" spans="1:7" x14ac:dyDescent="0.25">
      <c r="A24" s="39" t="s">
        <v>171</v>
      </c>
      <c r="B24" s="13" t="s">
        <v>170</v>
      </c>
      <c r="C24" s="13" t="s">
        <v>165</v>
      </c>
      <c r="D24" s="13" t="s">
        <v>166</v>
      </c>
      <c r="E24" s="40">
        <v>85000</v>
      </c>
      <c r="F24" s="13">
        <v>18</v>
      </c>
      <c r="G24" s="41">
        <f>F24*E24</f>
        <v>1530000</v>
      </c>
    </row>
    <row r="25" spans="1:7" x14ac:dyDescent="0.25">
      <c r="A25" s="39" t="s">
        <v>171</v>
      </c>
      <c r="B25" s="13" t="s">
        <v>170</v>
      </c>
      <c r="C25" s="13" t="s">
        <v>165</v>
      </c>
      <c r="D25" s="13" t="s">
        <v>167</v>
      </c>
      <c r="E25" s="40">
        <v>100000</v>
      </c>
      <c r="F25" s="13">
        <v>10</v>
      </c>
      <c r="G25" s="41">
        <f t="shared" ref="G25:G27" si="5">F25*E25</f>
        <v>1000000</v>
      </c>
    </row>
    <row r="26" spans="1:7" x14ac:dyDescent="0.25">
      <c r="A26" s="39" t="s">
        <v>171</v>
      </c>
      <c r="B26" s="13" t="s">
        <v>170</v>
      </c>
      <c r="C26" s="13" t="s">
        <v>168</v>
      </c>
      <c r="D26" s="13" t="s">
        <v>166</v>
      </c>
      <c r="E26" s="40">
        <v>85000</v>
      </c>
      <c r="F26" s="13">
        <v>15</v>
      </c>
      <c r="G26" s="41">
        <f t="shared" si="5"/>
        <v>1275000</v>
      </c>
    </row>
    <row r="27" spans="1:7" x14ac:dyDescent="0.25">
      <c r="A27" s="39" t="s">
        <v>171</v>
      </c>
      <c r="B27" s="13" t="s">
        <v>170</v>
      </c>
      <c r="C27" s="13" t="s">
        <v>168</v>
      </c>
      <c r="D27" s="13" t="s">
        <v>167</v>
      </c>
      <c r="E27" s="40">
        <v>100000</v>
      </c>
      <c r="F27" s="13">
        <v>16</v>
      </c>
      <c r="G27" s="41">
        <f t="shared" si="5"/>
        <v>1600000</v>
      </c>
    </row>
    <row r="28" spans="1:7" x14ac:dyDescent="0.25">
      <c r="A28" s="39" t="s">
        <v>163</v>
      </c>
      <c r="B28" s="13" t="s">
        <v>170</v>
      </c>
      <c r="C28" s="13" t="s">
        <v>165</v>
      </c>
      <c r="D28" s="13" t="s">
        <v>166</v>
      </c>
      <c r="E28" s="40">
        <v>85000</v>
      </c>
      <c r="F28" s="13">
        <v>25</v>
      </c>
      <c r="G28" s="41">
        <f>F28*E28</f>
        <v>2125000</v>
      </c>
    </row>
    <row r="29" spans="1:7" x14ac:dyDescent="0.25">
      <c r="A29" s="39" t="s">
        <v>163</v>
      </c>
      <c r="B29" s="13" t="s">
        <v>170</v>
      </c>
      <c r="C29" s="13" t="s">
        <v>165</v>
      </c>
      <c r="D29" s="13" t="s">
        <v>167</v>
      </c>
      <c r="E29" s="40">
        <v>100000</v>
      </c>
      <c r="F29" s="13">
        <v>20</v>
      </c>
      <c r="G29" s="41">
        <f t="shared" ref="G29:G31" si="6">F29*E29</f>
        <v>2000000</v>
      </c>
    </row>
    <row r="30" spans="1:7" x14ac:dyDescent="0.25">
      <c r="A30" s="39" t="s">
        <v>163</v>
      </c>
      <c r="B30" s="13" t="s">
        <v>170</v>
      </c>
      <c r="C30" s="13" t="s">
        <v>168</v>
      </c>
      <c r="D30" s="13" t="s">
        <v>166</v>
      </c>
      <c r="E30" s="40">
        <v>85000</v>
      </c>
      <c r="F30" s="13">
        <v>15</v>
      </c>
      <c r="G30" s="41">
        <f t="shared" si="6"/>
        <v>1275000</v>
      </c>
    </row>
    <row r="31" spans="1:7" x14ac:dyDescent="0.25">
      <c r="A31" s="39" t="s">
        <v>163</v>
      </c>
      <c r="B31" s="13" t="s">
        <v>170</v>
      </c>
      <c r="C31" s="13" t="s">
        <v>168</v>
      </c>
      <c r="D31" s="13" t="s">
        <v>167</v>
      </c>
      <c r="E31" s="40">
        <v>100000</v>
      </c>
      <c r="F31" s="13">
        <v>22</v>
      </c>
      <c r="G31" s="41">
        <f t="shared" si="6"/>
        <v>2200000</v>
      </c>
    </row>
    <row r="32" spans="1:7" x14ac:dyDescent="0.25">
      <c r="A32" s="39" t="s">
        <v>169</v>
      </c>
      <c r="B32" s="13" t="s">
        <v>172</v>
      </c>
      <c r="C32" s="13" t="s">
        <v>165</v>
      </c>
      <c r="D32" s="13" t="s">
        <v>166</v>
      </c>
      <c r="E32" s="40">
        <v>85000</v>
      </c>
      <c r="F32" s="13">
        <v>15</v>
      </c>
      <c r="G32" s="41">
        <f>F32*E32</f>
        <v>1275000</v>
      </c>
    </row>
    <row r="33" spans="1:7" x14ac:dyDescent="0.25">
      <c r="A33" s="39" t="s">
        <v>169</v>
      </c>
      <c r="B33" s="13" t="s">
        <v>172</v>
      </c>
      <c r="C33" s="13" t="s">
        <v>165</v>
      </c>
      <c r="D33" s="13" t="s">
        <v>167</v>
      </c>
      <c r="E33" s="40">
        <v>100000</v>
      </c>
      <c r="F33" s="13">
        <v>26</v>
      </c>
      <c r="G33" s="41">
        <f t="shared" ref="G33:G35" si="7">F33*E33</f>
        <v>2600000</v>
      </c>
    </row>
    <row r="34" spans="1:7" x14ac:dyDescent="0.25">
      <c r="A34" s="39" t="s">
        <v>169</v>
      </c>
      <c r="B34" s="13" t="s">
        <v>172</v>
      </c>
      <c r="C34" s="13" t="s">
        <v>168</v>
      </c>
      <c r="D34" s="13" t="s">
        <v>166</v>
      </c>
      <c r="E34" s="40">
        <v>85000</v>
      </c>
      <c r="F34" s="13">
        <v>35</v>
      </c>
      <c r="G34" s="41">
        <f t="shared" si="7"/>
        <v>2975000</v>
      </c>
    </row>
    <row r="35" spans="1:7" x14ac:dyDescent="0.25">
      <c r="A35" s="39" t="s">
        <v>169</v>
      </c>
      <c r="B35" s="13" t="s">
        <v>172</v>
      </c>
      <c r="C35" s="13" t="s">
        <v>168</v>
      </c>
      <c r="D35" s="13" t="s">
        <v>167</v>
      </c>
      <c r="E35" s="40">
        <v>100000</v>
      </c>
      <c r="F35" s="13">
        <v>10</v>
      </c>
      <c r="G35" s="41">
        <f t="shared" si="7"/>
        <v>1000000</v>
      </c>
    </row>
    <row r="36" spans="1:7" x14ac:dyDescent="0.25">
      <c r="A36" s="39" t="s">
        <v>171</v>
      </c>
      <c r="B36" s="13" t="s">
        <v>164</v>
      </c>
      <c r="C36" s="13" t="s">
        <v>165</v>
      </c>
      <c r="D36" s="13" t="s">
        <v>166</v>
      </c>
      <c r="E36" s="40">
        <v>85000</v>
      </c>
      <c r="F36" s="13">
        <v>18</v>
      </c>
      <c r="G36" s="41">
        <f>F36*E36</f>
        <v>1530000</v>
      </c>
    </row>
    <row r="37" spans="1:7" x14ac:dyDescent="0.25">
      <c r="A37" s="39" t="s">
        <v>171</v>
      </c>
      <c r="B37" s="13" t="s">
        <v>164</v>
      </c>
      <c r="C37" s="13" t="s">
        <v>165</v>
      </c>
      <c r="D37" s="13" t="s">
        <v>167</v>
      </c>
      <c r="E37" s="40">
        <v>100000</v>
      </c>
      <c r="F37" s="13">
        <v>10</v>
      </c>
      <c r="G37" s="41">
        <f t="shared" ref="G37:G39" si="8">F37*E37</f>
        <v>1000000</v>
      </c>
    </row>
    <row r="38" spans="1:7" x14ac:dyDescent="0.25">
      <c r="A38" s="39" t="s">
        <v>171</v>
      </c>
      <c r="B38" s="13" t="s">
        <v>164</v>
      </c>
      <c r="C38" s="13" t="s">
        <v>168</v>
      </c>
      <c r="D38" s="13" t="s">
        <v>166</v>
      </c>
      <c r="E38" s="40">
        <v>85000</v>
      </c>
      <c r="F38" s="13">
        <v>15</v>
      </c>
      <c r="G38" s="41">
        <f t="shared" si="8"/>
        <v>1275000</v>
      </c>
    </row>
    <row r="39" spans="1:7" ht="15.75" thickBot="1" x14ac:dyDescent="0.3">
      <c r="A39" s="42" t="s">
        <v>171</v>
      </c>
      <c r="B39" s="43" t="s">
        <v>164</v>
      </c>
      <c r="C39" s="43" t="s">
        <v>168</v>
      </c>
      <c r="D39" s="43" t="s">
        <v>167</v>
      </c>
      <c r="E39" s="44">
        <v>100000</v>
      </c>
      <c r="F39" s="43">
        <v>16</v>
      </c>
      <c r="G39" s="45">
        <f t="shared" si="8"/>
        <v>1600000</v>
      </c>
    </row>
  </sheetData>
  <mergeCells count="1">
    <mergeCell ref="A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D6" sqref="D6"/>
    </sheetView>
  </sheetViews>
  <sheetFormatPr defaultRowHeight="15" x14ac:dyDescent="0.25"/>
  <cols>
    <col min="1" max="1" width="14.140625" customWidth="1"/>
    <col min="2" max="2" width="8.85546875" customWidth="1"/>
    <col min="3" max="3" width="6.85546875" style="1" customWidth="1"/>
    <col min="4" max="4" width="6.42578125" customWidth="1"/>
    <col min="5" max="5" width="9" customWidth="1"/>
    <col min="6" max="6" width="10.28515625" customWidth="1"/>
    <col min="7" max="7" width="7.85546875" customWidth="1"/>
    <col min="8" max="8" width="7" customWidth="1"/>
    <col min="9" max="9" width="9.85546875" customWidth="1"/>
    <col min="10" max="13" width="8.5703125" customWidth="1"/>
  </cols>
  <sheetData>
    <row r="1" spans="1:9" ht="21" x14ac:dyDescent="0.35">
      <c r="A1" s="18" t="s">
        <v>100</v>
      </c>
    </row>
    <row r="3" spans="1:9" s="22" customFormat="1" ht="27.95" customHeight="1" x14ac:dyDescent="0.25">
      <c r="A3" s="19" t="s">
        <v>101</v>
      </c>
      <c r="B3" s="19" t="s">
        <v>102</v>
      </c>
      <c r="C3" s="20" t="s">
        <v>103</v>
      </c>
      <c r="D3" s="21" t="s">
        <v>104</v>
      </c>
      <c r="E3" s="21" t="s">
        <v>105</v>
      </c>
      <c r="F3" s="21" t="s">
        <v>106</v>
      </c>
      <c r="G3" s="21" t="s">
        <v>107</v>
      </c>
      <c r="H3" s="21" t="s">
        <v>108</v>
      </c>
      <c r="I3" s="21" t="s">
        <v>109</v>
      </c>
    </row>
    <row r="4" spans="1:9" x14ac:dyDescent="0.25">
      <c r="A4" s="13" t="s">
        <v>110</v>
      </c>
      <c r="B4" s="13" t="s">
        <v>111</v>
      </c>
      <c r="C4" s="14" t="s">
        <v>112</v>
      </c>
      <c r="D4" s="13">
        <v>16</v>
      </c>
      <c r="E4" s="15">
        <f t="shared" ref="E4:E15" si="0">D4*Hourly_Pay_Rate</f>
        <v>159.84</v>
      </c>
      <c r="F4" t="s">
        <v>152</v>
      </c>
      <c r="G4" s="15">
        <f t="shared" ref="G4:G15" si="1">D4*Nat_Ins_Rate</f>
        <v>1.1359999999999999</v>
      </c>
      <c r="H4" s="23">
        <f t="shared" ref="H4:H15" si="2">D4*Tax_Rate</f>
        <v>3.1040000000000001</v>
      </c>
      <c r="I4" s="15">
        <f t="shared" ref="I4:I15" si="3">E4-SUM(G4:H4)</f>
        <v>155.6</v>
      </c>
    </row>
    <row r="5" spans="1:9" x14ac:dyDescent="0.25">
      <c r="A5" s="13" t="s">
        <v>113</v>
      </c>
      <c r="B5" s="13" t="s">
        <v>114</v>
      </c>
      <c r="C5" s="14" t="s">
        <v>115</v>
      </c>
      <c r="D5" s="13">
        <v>18</v>
      </c>
      <c r="E5" s="15">
        <f t="shared" si="0"/>
        <v>179.82</v>
      </c>
      <c r="F5" s="15" t="s">
        <v>152</v>
      </c>
      <c r="G5" s="15">
        <f t="shared" si="1"/>
        <v>1.2779999999999998</v>
      </c>
      <c r="H5" s="15">
        <f t="shared" si="2"/>
        <v>3.492</v>
      </c>
      <c r="I5" s="15">
        <f t="shared" si="3"/>
        <v>175.04999999999998</v>
      </c>
    </row>
    <row r="6" spans="1:9" x14ac:dyDescent="0.25">
      <c r="A6" s="13" t="s">
        <v>116</v>
      </c>
      <c r="B6" s="13" t="s">
        <v>117</v>
      </c>
      <c r="C6" s="14" t="s">
        <v>115</v>
      </c>
      <c r="D6" s="13">
        <v>22</v>
      </c>
      <c r="E6" s="15">
        <f t="shared" si="0"/>
        <v>219.78</v>
      </c>
      <c r="F6" s="15" t="s">
        <v>152</v>
      </c>
      <c r="G6" s="15">
        <f t="shared" si="1"/>
        <v>1.5619999999999998</v>
      </c>
      <c r="H6" s="15">
        <f t="shared" si="2"/>
        <v>4.2679999999999998</v>
      </c>
      <c r="I6" s="15">
        <f t="shared" si="3"/>
        <v>213.95</v>
      </c>
    </row>
    <row r="7" spans="1:9" x14ac:dyDescent="0.25">
      <c r="A7" s="13" t="s">
        <v>118</v>
      </c>
      <c r="B7" s="13" t="s">
        <v>119</v>
      </c>
      <c r="C7" s="14" t="s">
        <v>120</v>
      </c>
      <c r="D7" s="13">
        <v>19</v>
      </c>
      <c r="E7" s="15">
        <f t="shared" si="0"/>
        <v>189.81</v>
      </c>
      <c r="F7" s="15" t="s">
        <v>150</v>
      </c>
      <c r="G7" s="15">
        <f t="shared" si="1"/>
        <v>1.349</v>
      </c>
      <c r="H7" s="15">
        <f t="shared" si="2"/>
        <v>3.6859999999999999</v>
      </c>
      <c r="I7" s="15">
        <f t="shared" si="3"/>
        <v>184.77500000000001</v>
      </c>
    </row>
    <row r="8" spans="1:9" x14ac:dyDescent="0.25">
      <c r="A8" s="13" t="s">
        <v>121</v>
      </c>
      <c r="B8" s="13" t="s">
        <v>122</v>
      </c>
      <c r="C8" s="14" t="s">
        <v>123</v>
      </c>
      <c r="D8" s="13">
        <v>18</v>
      </c>
      <c r="E8" s="15">
        <f t="shared" si="0"/>
        <v>179.82</v>
      </c>
      <c r="F8" s="15" t="s">
        <v>151</v>
      </c>
      <c r="G8" s="15">
        <f t="shared" si="1"/>
        <v>1.2779999999999998</v>
      </c>
      <c r="H8" s="15">
        <f t="shared" si="2"/>
        <v>3.492</v>
      </c>
      <c r="I8" s="15">
        <f t="shared" si="3"/>
        <v>175.04999999999998</v>
      </c>
    </row>
    <row r="9" spans="1:9" x14ac:dyDescent="0.25">
      <c r="A9" s="13" t="s">
        <v>124</v>
      </c>
      <c r="B9" s="13" t="s">
        <v>122</v>
      </c>
      <c r="C9" s="14" t="s">
        <v>125</v>
      </c>
      <c r="D9" s="13">
        <v>18</v>
      </c>
      <c r="E9" s="15">
        <f t="shared" si="0"/>
        <v>179.82</v>
      </c>
      <c r="F9" s="15" t="s">
        <v>149</v>
      </c>
      <c r="G9" s="15">
        <f t="shared" si="1"/>
        <v>1.2779999999999998</v>
      </c>
      <c r="H9" s="15">
        <f t="shared" si="2"/>
        <v>3.492</v>
      </c>
      <c r="I9" s="15">
        <f t="shared" si="3"/>
        <v>175.04999999999998</v>
      </c>
    </row>
    <row r="10" spans="1:9" x14ac:dyDescent="0.25">
      <c r="A10" s="13" t="s">
        <v>126</v>
      </c>
      <c r="B10" s="13" t="s">
        <v>127</v>
      </c>
      <c r="C10" s="14" t="s">
        <v>128</v>
      </c>
      <c r="D10" s="13">
        <v>12</v>
      </c>
      <c r="E10" s="15">
        <f t="shared" si="0"/>
        <v>119.88</v>
      </c>
      <c r="F10" s="15" t="s">
        <v>154</v>
      </c>
      <c r="G10" s="15">
        <f t="shared" si="1"/>
        <v>0.85199999999999987</v>
      </c>
      <c r="H10" s="15">
        <f t="shared" si="2"/>
        <v>2.3280000000000003</v>
      </c>
      <c r="I10" s="15">
        <f t="shared" si="3"/>
        <v>116.69999999999999</v>
      </c>
    </row>
    <row r="11" spans="1:9" x14ac:dyDescent="0.25">
      <c r="A11" s="13" t="s">
        <v>129</v>
      </c>
      <c r="B11" s="13" t="s">
        <v>130</v>
      </c>
      <c r="C11" s="14" t="s">
        <v>131</v>
      </c>
      <c r="D11" s="13">
        <v>16</v>
      </c>
      <c r="E11" s="15">
        <f t="shared" si="0"/>
        <v>159.84</v>
      </c>
      <c r="F11" s="15" t="s">
        <v>153</v>
      </c>
      <c r="G11" s="15">
        <f t="shared" si="1"/>
        <v>1.1359999999999999</v>
      </c>
      <c r="H11" s="15">
        <f t="shared" si="2"/>
        <v>3.1040000000000001</v>
      </c>
      <c r="I11" s="15">
        <f t="shared" si="3"/>
        <v>155.6</v>
      </c>
    </row>
    <row r="12" spans="1:9" x14ac:dyDescent="0.25">
      <c r="A12" s="13" t="s">
        <v>132</v>
      </c>
      <c r="B12" s="13" t="s">
        <v>133</v>
      </c>
      <c r="C12" s="14" t="s">
        <v>134</v>
      </c>
      <c r="D12" s="13">
        <v>16</v>
      </c>
      <c r="E12" s="15">
        <f t="shared" si="0"/>
        <v>159.84</v>
      </c>
      <c r="F12" s="15" t="s">
        <v>149</v>
      </c>
      <c r="G12" s="15">
        <f t="shared" si="1"/>
        <v>1.1359999999999999</v>
      </c>
      <c r="H12" s="15">
        <f t="shared" si="2"/>
        <v>3.1040000000000001</v>
      </c>
      <c r="I12" s="15">
        <f t="shared" si="3"/>
        <v>155.6</v>
      </c>
    </row>
    <row r="13" spans="1:9" x14ac:dyDescent="0.25">
      <c r="A13" s="13" t="s">
        <v>135</v>
      </c>
      <c r="B13" s="13" t="s">
        <v>136</v>
      </c>
      <c r="C13" s="14" t="s">
        <v>134</v>
      </c>
      <c r="D13" s="13">
        <v>18</v>
      </c>
      <c r="E13" s="15">
        <f t="shared" si="0"/>
        <v>179.82</v>
      </c>
      <c r="F13" s="15" t="s">
        <v>148</v>
      </c>
      <c r="G13" s="15">
        <f t="shared" si="1"/>
        <v>1.2779999999999998</v>
      </c>
      <c r="H13" s="15">
        <f t="shared" si="2"/>
        <v>3.492</v>
      </c>
      <c r="I13" s="15">
        <f t="shared" si="3"/>
        <v>175.04999999999998</v>
      </c>
    </row>
    <row r="14" spans="1:9" x14ac:dyDescent="0.25">
      <c r="A14" s="13" t="s">
        <v>137</v>
      </c>
      <c r="B14" s="13" t="s">
        <v>138</v>
      </c>
      <c r="C14" s="14" t="s">
        <v>139</v>
      </c>
      <c r="D14" s="13">
        <v>22</v>
      </c>
      <c r="E14" s="15">
        <f t="shared" si="0"/>
        <v>219.78</v>
      </c>
      <c r="F14" s="15" t="s">
        <v>150</v>
      </c>
      <c r="G14" s="15">
        <f t="shared" si="1"/>
        <v>1.5619999999999998</v>
      </c>
      <c r="H14" s="15">
        <f t="shared" si="2"/>
        <v>4.2679999999999998</v>
      </c>
      <c r="I14" s="15">
        <f t="shared" si="3"/>
        <v>213.95</v>
      </c>
    </row>
    <row r="15" spans="1:9" x14ac:dyDescent="0.25">
      <c r="A15" s="13" t="s">
        <v>140</v>
      </c>
      <c r="B15" s="13" t="s">
        <v>141</v>
      </c>
      <c r="C15" s="14" t="s">
        <v>142</v>
      </c>
      <c r="D15" s="13">
        <v>12</v>
      </c>
      <c r="E15" s="15">
        <f t="shared" si="0"/>
        <v>119.88</v>
      </c>
      <c r="F15" s="15" t="s">
        <v>151</v>
      </c>
      <c r="G15" s="15">
        <f t="shared" si="1"/>
        <v>0.85199999999999987</v>
      </c>
      <c r="H15" s="15">
        <f t="shared" si="2"/>
        <v>2.3280000000000003</v>
      </c>
      <c r="I15" s="15">
        <f t="shared" si="3"/>
        <v>116.69999999999999</v>
      </c>
    </row>
    <row r="16" spans="1:9" x14ac:dyDescent="0.25">
      <c r="A16" s="24" t="s">
        <v>143</v>
      </c>
      <c r="B16" s="25"/>
      <c r="C16" s="26"/>
      <c r="D16" s="24">
        <f>SUM(D4:D15)</f>
        <v>207</v>
      </c>
      <c r="E16" s="27">
        <f t="shared" ref="E16:I16" si="4">SUM(E4:E15)</f>
        <v>2067.9299999999998</v>
      </c>
      <c r="F16" s="27"/>
      <c r="G16" s="27">
        <f t="shared" si="4"/>
        <v>14.696999999999997</v>
      </c>
      <c r="H16" s="27">
        <f t="shared" si="4"/>
        <v>40.158000000000001</v>
      </c>
      <c r="I16" s="27">
        <f t="shared" si="4"/>
        <v>2013.0749999999998</v>
      </c>
    </row>
    <row r="18" spans="1:3" x14ac:dyDescent="0.25">
      <c r="A18" t="s">
        <v>144</v>
      </c>
      <c r="B18" s="28">
        <v>9.99</v>
      </c>
    </row>
    <row r="19" spans="1:3" x14ac:dyDescent="0.25">
      <c r="A19" t="s">
        <v>145</v>
      </c>
      <c r="B19" s="29">
        <v>7.0999999999999994E-2</v>
      </c>
      <c r="C19" s="22"/>
    </row>
    <row r="20" spans="1:3" x14ac:dyDescent="0.25">
      <c r="A20" t="s">
        <v>146</v>
      </c>
      <c r="B20" s="29">
        <v>0.19400000000000001</v>
      </c>
    </row>
    <row r="23" spans="1:3" x14ac:dyDescent="0.25">
      <c r="C23"/>
    </row>
    <row r="24" spans="1:3" x14ac:dyDescent="0.25">
      <c r="C24"/>
    </row>
  </sheetData>
  <conditionalFormatting sqref="B4:B15">
    <cfRule type="expression" dxfId="2" priority="1">
      <formula>$B1048569="Davis"</formula>
    </cfRule>
    <cfRule type="expression" dxfId="1" priority="2">
      <formula>"$b4=""Davis"""</formula>
    </cfRule>
    <cfRule type="expression" dxfId="0" priority="3">
      <formula>"Davis"</formula>
    </cfRule>
  </conditionalFormatting>
  <dataValidations count="1">
    <dataValidation type="whole" allowBlank="1" showInputMessage="1" showErrorMessage="1" sqref="D4:D15">
      <formula1>0</formula1>
      <formula2>26</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'DV Range'!$A$2:$A$8</xm:f>
          </x14:formula1>
          <xm:sqref>F4:F16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2" sqref="A2"/>
    </sheetView>
  </sheetViews>
  <sheetFormatPr defaultRowHeight="15" x14ac:dyDescent="0.25"/>
  <sheetData>
    <row r="1" spans="1:1" x14ac:dyDescent="0.25">
      <c r="A1" s="30" t="s">
        <v>147</v>
      </c>
    </row>
    <row r="2" spans="1:1" x14ac:dyDescent="0.25">
      <c r="A2" s="31" t="s">
        <v>148</v>
      </c>
    </row>
    <row r="3" spans="1:1" x14ac:dyDescent="0.25">
      <c r="A3" s="31" t="s">
        <v>149</v>
      </c>
    </row>
    <row r="4" spans="1:1" x14ac:dyDescent="0.25">
      <c r="A4" s="31" t="s">
        <v>150</v>
      </c>
    </row>
    <row r="5" spans="1:1" x14ac:dyDescent="0.25">
      <c r="A5" s="31" t="s">
        <v>151</v>
      </c>
    </row>
    <row r="6" spans="1:1" x14ac:dyDescent="0.25">
      <c r="A6" s="31" t="s">
        <v>152</v>
      </c>
    </row>
    <row r="7" spans="1:1" x14ac:dyDescent="0.25">
      <c r="A7" s="31" t="s">
        <v>153</v>
      </c>
    </row>
    <row r="8" spans="1:1" x14ac:dyDescent="0.25">
      <c r="A8" s="31" t="s">
        <v>154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activeCell="D11" sqref="D11"/>
    </sheetView>
  </sheetViews>
  <sheetFormatPr defaultRowHeight="15" x14ac:dyDescent="0.25"/>
  <cols>
    <col min="1" max="1" width="23.7109375" customWidth="1"/>
    <col min="2" max="3" width="13.7109375" customWidth="1"/>
    <col min="4" max="4" width="14.5703125" customWidth="1"/>
    <col min="6" max="6" width="18.140625" customWidth="1"/>
    <col min="7" max="7" width="15.7109375" customWidth="1"/>
  </cols>
  <sheetData>
    <row r="1" spans="1:8" ht="31.5" customHeight="1" x14ac:dyDescent="0.3">
      <c r="A1" s="46" t="s">
        <v>0</v>
      </c>
      <c r="B1" s="46" t="s">
        <v>173</v>
      </c>
      <c r="C1" s="46" t="s">
        <v>174</v>
      </c>
      <c r="D1" s="46" t="s">
        <v>175</v>
      </c>
      <c r="E1" s="46" t="s">
        <v>153</v>
      </c>
      <c r="F1" s="46" t="s">
        <v>176</v>
      </c>
      <c r="G1" s="46" t="s">
        <v>177</v>
      </c>
      <c r="H1" s="49"/>
    </row>
    <row r="2" spans="1:8" ht="16.5" x14ac:dyDescent="0.3">
      <c r="A2" s="50" t="s">
        <v>178</v>
      </c>
      <c r="B2" s="47">
        <v>1002</v>
      </c>
      <c r="C2" s="47" t="s">
        <v>179</v>
      </c>
      <c r="D2" s="47">
        <v>124</v>
      </c>
      <c r="E2" s="48">
        <v>10000</v>
      </c>
      <c r="F2" s="47">
        <v>20</v>
      </c>
      <c r="G2" s="48">
        <v>1000</v>
      </c>
    </row>
    <row r="3" spans="1:8" ht="16.5" x14ac:dyDescent="0.3">
      <c r="A3" s="47" t="s">
        <v>180</v>
      </c>
      <c r="B3" s="47">
        <v>1003</v>
      </c>
      <c r="C3" s="47" t="s">
        <v>181</v>
      </c>
      <c r="D3" s="47">
        <v>542</v>
      </c>
      <c r="E3" s="48">
        <v>5000</v>
      </c>
      <c r="F3" s="47">
        <v>4</v>
      </c>
      <c r="G3" s="48">
        <v>500</v>
      </c>
    </row>
    <row r="4" spans="1:8" ht="18" customHeight="1" x14ac:dyDescent="0.3">
      <c r="A4" s="50" t="s">
        <v>182</v>
      </c>
      <c r="B4" s="47">
        <v>1005</v>
      </c>
      <c r="C4" s="47" t="s">
        <v>181</v>
      </c>
      <c r="D4" s="47">
        <v>542</v>
      </c>
      <c r="E4" s="48">
        <v>2000</v>
      </c>
      <c r="F4" s="47">
        <v>2</v>
      </c>
      <c r="G4" s="48">
        <v>200</v>
      </c>
    </row>
    <row r="5" spans="1:8" ht="17.25" customHeight="1" x14ac:dyDescent="0.3">
      <c r="A5" s="50" t="s">
        <v>183</v>
      </c>
      <c r="B5" s="47">
        <v>1006</v>
      </c>
      <c r="C5" s="47" t="s">
        <v>179</v>
      </c>
      <c r="D5" s="47">
        <v>124</v>
      </c>
      <c r="E5" s="48">
        <v>9000</v>
      </c>
      <c r="F5" s="47">
        <v>15</v>
      </c>
      <c r="G5" s="48">
        <v>900</v>
      </c>
    </row>
    <row r="6" spans="1:8" ht="16.5" customHeight="1" x14ac:dyDescent="0.3">
      <c r="A6" s="47" t="s">
        <v>184</v>
      </c>
      <c r="B6" s="47">
        <v>1007</v>
      </c>
      <c r="C6" s="47" t="s">
        <v>181</v>
      </c>
      <c r="D6" s="47">
        <v>542</v>
      </c>
      <c r="E6" s="48">
        <v>15000</v>
      </c>
      <c r="F6" s="47">
        <v>25</v>
      </c>
      <c r="G6" s="48">
        <v>1500</v>
      </c>
    </row>
    <row r="7" spans="1:8" ht="15.75" customHeight="1" x14ac:dyDescent="0.3">
      <c r="A7" s="47" t="s">
        <v>182</v>
      </c>
      <c r="B7" s="47">
        <v>1005</v>
      </c>
      <c r="C7" s="47" t="s">
        <v>164</v>
      </c>
      <c r="D7" s="47">
        <v>140</v>
      </c>
      <c r="E7" s="48">
        <v>10000</v>
      </c>
      <c r="F7" s="47">
        <v>15</v>
      </c>
      <c r="G7" s="48">
        <v>1100</v>
      </c>
    </row>
    <row r="8" spans="1:8" ht="16.5" customHeight="1" x14ac:dyDescent="0.3">
      <c r="A8" s="47" t="s">
        <v>185</v>
      </c>
      <c r="B8" s="47">
        <v>1008</v>
      </c>
      <c r="C8" s="47" t="s">
        <v>179</v>
      </c>
      <c r="D8" s="47">
        <v>124</v>
      </c>
      <c r="E8" s="48">
        <v>12000</v>
      </c>
      <c r="F8" s="47">
        <v>22</v>
      </c>
      <c r="G8" s="48">
        <v>1350</v>
      </c>
    </row>
    <row r="10" spans="1:8" x14ac:dyDescent="0.25">
      <c r="E10">
        <f>SUMIFS(E2:E8,E2:E8, "&gt;4000", C2:C8, "West")</f>
        <v>20000</v>
      </c>
    </row>
    <row r="11" spans="1:8" x14ac:dyDescent="0.25">
      <c r="E11">
        <f>SUMIFS(E2:E8,D2:D8,542,B2:B8,1005)</f>
        <v>2000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election activeCell="D5" sqref="D5"/>
    </sheetView>
  </sheetViews>
  <sheetFormatPr defaultRowHeight="15" x14ac:dyDescent="0.25"/>
  <cols>
    <col min="1" max="1" width="34.7109375" customWidth="1"/>
    <col min="2" max="2" width="17.42578125" customWidth="1"/>
    <col min="3" max="3" width="35.5703125" customWidth="1"/>
    <col min="4" max="4" width="17" customWidth="1"/>
    <col min="5" max="5" width="18.28515625" customWidth="1"/>
    <col min="6" max="6" width="13" customWidth="1"/>
    <col min="7" max="7" width="14.7109375" customWidth="1"/>
  </cols>
  <sheetData>
    <row r="1" spans="1:7" x14ac:dyDescent="0.25">
      <c r="A1" s="51" t="s">
        <v>186</v>
      </c>
      <c r="B1" s="51"/>
      <c r="C1" s="51"/>
      <c r="D1" s="51"/>
      <c r="E1" s="51"/>
    </row>
    <row r="2" spans="1:7" x14ac:dyDescent="0.25">
      <c r="A2" s="51" t="s">
        <v>187</v>
      </c>
      <c r="B2" s="51"/>
      <c r="C2" s="51"/>
      <c r="D2" s="51"/>
      <c r="E2" s="51"/>
    </row>
    <row r="3" spans="1:7" x14ac:dyDescent="0.25">
      <c r="A3" s="51"/>
      <c r="B3" s="51"/>
      <c r="C3" s="51"/>
      <c r="D3" s="51"/>
      <c r="E3" s="51"/>
    </row>
    <row r="4" spans="1:7" x14ac:dyDescent="0.25">
      <c r="A4" s="51" t="s">
        <v>188</v>
      </c>
      <c r="B4" s="51"/>
      <c r="C4" s="51"/>
      <c r="D4" s="52">
        <f>SUMIFS(D8:D37,B8:B37,"Europe",F8:F37,"EUR")</f>
        <v>257566863</v>
      </c>
      <c r="E4" s="51"/>
    </row>
    <row r="5" spans="1:7" x14ac:dyDescent="0.25">
      <c r="A5" s="51" t="s">
        <v>189</v>
      </c>
      <c r="B5" s="51"/>
      <c r="C5" s="51"/>
      <c r="D5" s="52">
        <f>SUMIFS(D8:D37,B8:B37,"Asia",G8:G37,"&gt;1000")</f>
        <v>3212310700</v>
      </c>
      <c r="E5" s="51"/>
    </row>
    <row r="6" spans="1:7" ht="15.75" thickBot="1" x14ac:dyDescent="0.3">
      <c r="A6" s="51"/>
      <c r="B6" s="51"/>
      <c r="C6" s="51"/>
      <c r="D6" s="51"/>
      <c r="E6" s="51"/>
    </row>
    <row r="7" spans="1:7" x14ac:dyDescent="0.25">
      <c r="A7" s="53" t="s">
        <v>13</v>
      </c>
      <c r="B7" s="54" t="s">
        <v>190</v>
      </c>
      <c r="C7" s="55" t="s">
        <v>191</v>
      </c>
      <c r="D7" s="70" t="s">
        <v>192</v>
      </c>
      <c r="E7" s="66" t="s">
        <v>193</v>
      </c>
      <c r="F7" s="63" t="s">
        <v>251</v>
      </c>
      <c r="G7" s="59" t="s">
        <v>252</v>
      </c>
    </row>
    <row r="8" spans="1:7" x14ac:dyDescent="0.25">
      <c r="A8" s="56" t="s">
        <v>194</v>
      </c>
      <c r="B8" s="57" t="s">
        <v>195</v>
      </c>
      <c r="C8" s="68" t="s">
        <v>196</v>
      </c>
      <c r="D8" s="67">
        <v>1397715000</v>
      </c>
      <c r="E8" s="67">
        <v>9596960</v>
      </c>
      <c r="F8" s="64" t="s">
        <v>253</v>
      </c>
      <c r="G8" s="60">
        <v>14343</v>
      </c>
    </row>
    <row r="9" spans="1:7" x14ac:dyDescent="0.25">
      <c r="A9" s="56" t="s">
        <v>197</v>
      </c>
      <c r="B9" s="57" t="s">
        <v>195</v>
      </c>
      <c r="C9" s="68" t="s">
        <v>198</v>
      </c>
      <c r="D9" s="67">
        <v>1366417754</v>
      </c>
      <c r="E9" s="67">
        <v>3287263</v>
      </c>
      <c r="F9" s="64" t="s">
        <v>254</v>
      </c>
      <c r="G9" s="60">
        <v>2611</v>
      </c>
    </row>
    <row r="10" spans="1:7" ht="13.5" customHeight="1" x14ac:dyDescent="0.25">
      <c r="A10" s="71" t="s">
        <v>199</v>
      </c>
      <c r="B10" s="57" t="s">
        <v>200</v>
      </c>
      <c r="C10" s="68" t="s">
        <v>201</v>
      </c>
      <c r="D10" s="67">
        <v>328239523</v>
      </c>
      <c r="E10" s="67">
        <v>9833517</v>
      </c>
      <c r="F10" s="64" t="s">
        <v>255</v>
      </c>
      <c r="G10" s="60">
        <v>22675</v>
      </c>
    </row>
    <row r="11" spans="1:7" x14ac:dyDescent="0.25">
      <c r="A11" s="71" t="s">
        <v>202</v>
      </c>
      <c r="B11" s="57" t="s">
        <v>195</v>
      </c>
      <c r="C11" s="68" t="s">
        <v>203</v>
      </c>
      <c r="D11" s="67">
        <v>270203917</v>
      </c>
      <c r="E11" s="67">
        <v>1904569</v>
      </c>
      <c r="F11" s="64" t="s">
        <v>256</v>
      </c>
      <c r="G11" s="60">
        <v>1119</v>
      </c>
    </row>
    <row r="12" spans="1:7" x14ac:dyDescent="0.25">
      <c r="A12" s="56" t="s">
        <v>204</v>
      </c>
      <c r="B12" s="57" t="s">
        <v>195</v>
      </c>
      <c r="C12" s="68" t="s">
        <v>205</v>
      </c>
      <c r="D12" s="67">
        <v>216565318</v>
      </c>
      <c r="E12" s="67">
        <v>796095</v>
      </c>
      <c r="F12" s="64" t="s">
        <v>257</v>
      </c>
      <c r="G12" s="61">
        <v>304</v>
      </c>
    </row>
    <row r="13" spans="1:7" x14ac:dyDescent="0.25">
      <c r="A13" s="71" t="s">
        <v>206</v>
      </c>
      <c r="B13" s="57" t="s">
        <v>207</v>
      </c>
      <c r="C13" s="68" t="s">
        <v>208</v>
      </c>
      <c r="D13" s="67">
        <v>212559417</v>
      </c>
      <c r="E13" s="67">
        <v>8515770</v>
      </c>
      <c r="F13" s="64" t="s">
        <v>258</v>
      </c>
      <c r="G13" s="60">
        <v>1840</v>
      </c>
    </row>
    <row r="14" spans="1:7" x14ac:dyDescent="0.25">
      <c r="A14" s="56" t="s">
        <v>209</v>
      </c>
      <c r="B14" s="57" t="s">
        <v>210</v>
      </c>
      <c r="C14" s="68" t="s">
        <v>201</v>
      </c>
      <c r="D14" s="67">
        <v>200963599</v>
      </c>
      <c r="E14" s="67">
        <v>923768</v>
      </c>
      <c r="F14" s="64" t="s">
        <v>259</v>
      </c>
      <c r="G14" s="61">
        <v>448</v>
      </c>
    </row>
    <row r="15" spans="1:7" x14ac:dyDescent="0.25">
      <c r="A15" s="71" t="s">
        <v>211</v>
      </c>
      <c r="B15" s="57" t="s">
        <v>195</v>
      </c>
      <c r="C15" s="68" t="s">
        <v>212</v>
      </c>
      <c r="D15" s="67">
        <v>163046161</v>
      </c>
      <c r="E15" s="67">
        <v>148460</v>
      </c>
      <c r="F15" s="64" t="s">
        <v>260</v>
      </c>
      <c r="G15" s="61">
        <v>303</v>
      </c>
    </row>
    <row r="16" spans="1:7" x14ac:dyDescent="0.25">
      <c r="A16" s="56" t="s">
        <v>213</v>
      </c>
      <c r="B16" s="57" t="s">
        <v>214</v>
      </c>
      <c r="C16" s="68" t="s">
        <v>215</v>
      </c>
      <c r="D16" s="67">
        <v>144373535</v>
      </c>
      <c r="E16" s="67">
        <v>17098240</v>
      </c>
      <c r="F16" s="64" t="s">
        <v>261</v>
      </c>
      <c r="G16" s="60">
        <v>1700</v>
      </c>
    </row>
    <row r="17" spans="1:7" ht="15" customHeight="1" x14ac:dyDescent="0.25">
      <c r="A17" s="71" t="s">
        <v>216</v>
      </c>
      <c r="B17" s="57" t="s">
        <v>200</v>
      </c>
      <c r="C17" s="68" t="s">
        <v>217</v>
      </c>
      <c r="D17" s="67">
        <v>126014024</v>
      </c>
      <c r="E17" s="67">
        <v>1964375</v>
      </c>
      <c r="F17" s="64" t="s">
        <v>262</v>
      </c>
      <c r="G17" s="60">
        <v>1258</v>
      </c>
    </row>
    <row r="18" spans="1:7" x14ac:dyDescent="0.25">
      <c r="A18" s="56" t="s">
        <v>218</v>
      </c>
      <c r="B18" s="57" t="s">
        <v>195</v>
      </c>
      <c r="C18" s="68" t="s">
        <v>219</v>
      </c>
      <c r="D18" s="67">
        <v>126264931</v>
      </c>
      <c r="E18" s="67">
        <v>377944</v>
      </c>
      <c r="F18" s="64" t="s">
        <v>263</v>
      </c>
      <c r="G18" s="60">
        <v>5082</v>
      </c>
    </row>
    <row r="19" spans="1:7" x14ac:dyDescent="0.25">
      <c r="A19" s="56" t="s">
        <v>220</v>
      </c>
      <c r="B19" s="57" t="s">
        <v>210</v>
      </c>
      <c r="C19" s="68" t="s">
        <v>221</v>
      </c>
      <c r="D19" s="67">
        <v>112078730</v>
      </c>
      <c r="E19" s="67">
        <v>1104300</v>
      </c>
      <c r="F19" s="64" t="s">
        <v>264</v>
      </c>
      <c r="G19" s="61">
        <v>96</v>
      </c>
    </row>
    <row r="20" spans="1:7" x14ac:dyDescent="0.25">
      <c r="A20" s="71" t="s">
        <v>222</v>
      </c>
      <c r="B20" s="57" t="s">
        <v>195</v>
      </c>
      <c r="C20" s="68" t="s">
        <v>223</v>
      </c>
      <c r="D20" s="67">
        <v>108116615</v>
      </c>
      <c r="E20" s="67">
        <v>300000</v>
      </c>
      <c r="F20" s="64" t="s">
        <v>265</v>
      </c>
      <c r="G20" s="61">
        <v>377</v>
      </c>
    </row>
    <row r="21" spans="1:7" x14ac:dyDescent="0.25">
      <c r="A21" s="56" t="s">
        <v>224</v>
      </c>
      <c r="B21" s="57" t="s">
        <v>210</v>
      </c>
      <c r="C21" s="68" t="s">
        <v>225</v>
      </c>
      <c r="D21" s="67">
        <v>100388073</v>
      </c>
      <c r="E21" s="67">
        <v>1001450</v>
      </c>
      <c r="F21" s="64" t="s">
        <v>266</v>
      </c>
      <c r="G21" s="61">
        <v>303</v>
      </c>
    </row>
    <row r="22" spans="1:7" x14ac:dyDescent="0.25">
      <c r="A22" s="56" t="s">
        <v>226</v>
      </c>
      <c r="B22" s="57" t="s">
        <v>195</v>
      </c>
      <c r="C22" s="68" t="s">
        <v>227</v>
      </c>
      <c r="D22" s="67">
        <v>96462106</v>
      </c>
      <c r="E22" s="67">
        <v>331210</v>
      </c>
      <c r="F22" s="64" t="s">
        <v>267</v>
      </c>
      <c r="G22" s="61">
        <v>262</v>
      </c>
    </row>
    <row r="23" spans="1:7" x14ac:dyDescent="0.25">
      <c r="A23" s="71" t="s">
        <v>228</v>
      </c>
      <c r="B23" s="57" t="s">
        <v>210</v>
      </c>
      <c r="C23" s="68" t="s">
        <v>229</v>
      </c>
      <c r="D23" s="67">
        <v>86790567</v>
      </c>
      <c r="E23" s="67">
        <v>2344858</v>
      </c>
      <c r="F23" s="64" t="s">
        <v>268</v>
      </c>
      <c r="G23" s="61">
        <v>47</v>
      </c>
    </row>
    <row r="24" spans="1:7" x14ac:dyDescent="0.25">
      <c r="A24" s="56" t="s">
        <v>230</v>
      </c>
      <c r="B24" s="57" t="s">
        <v>195</v>
      </c>
      <c r="C24" s="68" t="s">
        <v>231</v>
      </c>
      <c r="D24" s="67">
        <v>82913906</v>
      </c>
      <c r="E24" s="67">
        <v>1648195</v>
      </c>
      <c r="F24" s="64" t="s">
        <v>269</v>
      </c>
      <c r="G24" s="61">
        <v>445</v>
      </c>
    </row>
    <row r="25" spans="1:7" x14ac:dyDescent="0.25">
      <c r="A25" s="56" t="s">
        <v>232</v>
      </c>
      <c r="B25" s="57" t="s">
        <v>195</v>
      </c>
      <c r="C25" s="68" t="s">
        <v>233</v>
      </c>
      <c r="D25" s="67">
        <v>83429615</v>
      </c>
      <c r="E25" s="67">
        <v>783562</v>
      </c>
      <c r="F25" s="64" t="s">
        <v>270</v>
      </c>
      <c r="G25" s="61">
        <v>754</v>
      </c>
    </row>
    <row r="26" spans="1:7" x14ac:dyDescent="0.25">
      <c r="A26" s="56" t="s">
        <v>47</v>
      </c>
      <c r="B26" s="57" t="s">
        <v>214</v>
      </c>
      <c r="C26" s="68" t="s">
        <v>234</v>
      </c>
      <c r="D26" s="67">
        <v>83132799</v>
      </c>
      <c r="E26" s="67">
        <v>357022</v>
      </c>
      <c r="F26" s="64" t="s">
        <v>271</v>
      </c>
      <c r="G26" s="60">
        <v>3846</v>
      </c>
    </row>
    <row r="27" spans="1:7" x14ac:dyDescent="0.25">
      <c r="A27" s="56" t="s">
        <v>35</v>
      </c>
      <c r="B27" s="57" t="s">
        <v>214</v>
      </c>
      <c r="C27" s="68" t="s">
        <v>229</v>
      </c>
      <c r="D27" s="67">
        <v>67059887</v>
      </c>
      <c r="E27" s="67">
        <v>643801</v>
      </c>
      <c r="F27" s="64" t="s">
        <v>271</v>
      </c>
      <c r="G27" s="60">
        <v>2716</v>
      </c>
    </row>
    <row r="28" spans="1:7" x14ac:dyDescent="0.25">
      <c r="A28" s="71" t="s">
        <v>235</v>
      </c>
      <c r="B28" s="57" t="s">
        <v>214</v>
      </c>
      <c r="C28" s="68" t="s">
        <v>201</v>
      </c>
      <c r="D28" s="67">
        <v>66834405</v>
      </c>
      <c r="E28" s="67">
        <v>243610</v>
      </c>
      <c r="F28" s="64" t="s">
        <v>272</v>
      </c>
      <c r="G28" s="60">
        <v>2827</v>
      </c>
    </row>
    <row r="29" spans="1:7" x14ac:dyDescent="0.25">
      <c r="A29" s="56" t="s">
        <v>236</v>
      </c>
      <c r="B29" s="57" t="s">
        <v>195</v>
      </c>
      <c r="C29" s="68" t="s">
        <v>237</v>
      </c>
      <c r="D29" s="67">
        <v>69625582</v>
      </c>
      <c r="E29" s="67">
        <v>513120</v>
      </c>
      <c r="F29" s="64" t="s">
        <v>273</v>
      </c>
      <c r="G29" s="61">
        <v>544</v>
      </c>
    </row>
    <row r="30" spans="1:7" x14ac:dyDescent="0.25">
      <c r="A30" s="71" t="s">
        <v>238</v>
      </c>
      <c r="B30" s="57" t="s">
        <v>210</v>
      </c>
      <c r="C30" s="68" t="s">
        <v>239</v>
      </c>
      <c r="D30" s="67">
        <v>58558270</v>
      </c>
      <c r="E30" s="67">
        <v>1219090</v>
      </c>
      <c r="F30" s="64" t="s">
        <v>274</v>
      </c>
      <c r="G30" s="61">
        <v>351</v>
      </c>
    </row>
    <row r="31" spans="1:7" x14ac:dyDescent="0.25">
      <c r="A31" s="56" t="s">
        <v>240</v>
      </c>
      <c r="B31" s="57" t="s">
        <v>210</v>
      </c>
      <c r="C31" s="68" t="s">
        <v>241</v>
      </c>
      <c r="D31" s="67">
        <v>58005463</v>
      </c>
      <c r="E31" s="67">
        <v>947300</v>
      </c>
      <c r="F31" s="64" t="s">
        <v>275</v>
      </c>
      <c r="G31" s="61">
        <v>63</v>
      </c>
    </row>
    <row r="32" spans="1:7" x14ac:dyDescent="0.25">
      <c r="A32" s="56" t="s">
        <v>242</v>
      </c>
      <c r="B32" s="57" t="s">
        <v>214</v>
      </c>
      <c r="C32" s="68" t="s">
        <v>243</v>
      </c>
      <c r="D32" s="67">
        <v>60297396</v>
      </c>
      <c r="E32" s="67">
        <v>301340</v>
      </c>
      <c r="F32" s="64" t="s">
        <v>271</v>
      </c>
      <c r="G32" s="60">
        <v>2001</v>
      </c>
    </row>
    <row r="33" spans="1:7" x14ac:dyDescent="0.25">
      <c r="A33" s="71" t="s">
        <v>244</v>
      </c>
      <c r="B33" s="57" t="s">
        <v>195</v>
      </c>
      <c r="C33" s="68" t="s">
        <v>245</v>
      </c>
      <c r="D33" s="67">
        <v>54045420</v>
      </c>
      <c r="E33" s="67">
        <v>676578</v>
      </c>
      <c r="F33" s="64" t="s">
        <v>276</v>
      </c>
      <c r="G33" s="61">
        <v>76</v>
      </c>
    </row>
    <row r="34" spans="1:7" x14ac:dyDescent="0.25">
      <c r="A34" s="71" t="s">
        <v>246</v>
      </c>
      <c r="B34" s="57" t="s">
        <v>195</v>
      </c>
      <c r="C34" s="68" t="s">
        <v>247</v>
      </c>
      <c r="D34" s="67">
        <v>51709098</v>
      </c>
      <c r="E34" s="67">
        <v>99720</v>
      </c>
      <c r="F34" s="64" t="s">
        <v>277</v>
      </c>
      <c r="G34" s="60">
        <v>2029</v>
      </c>
    </row>
    <row r="35" spans="1:7" ht="17.25" customHeight="1" x14ac:dyDescent="0.25">
      <c r="A35" s="71" t="s">
        <v>248</v>
      </c>
      <c r="B35" s="57" t="s">
        <v>207</v>
      </c>
      <c r="C35" s="68" t="s">
        <v>217</v>
      </c>
      <c r="D35" s="67">
        <v>50339443</v>
      </c>
      <c r="E35" s="67">
        <v>1138910</v>
      </c>
      <c r="F35" s="64" t="s">
        <v>278</v>
      </c>
      <c r="G35" s="61">
        <v>324</v>
      </c>
    </row>
    <row r="36" spans="1:7" x14ac:dyDescent="0.25">
      <c r="A36" s="71" t="s">
        <v>249</v>
      </c>
      <c r="B36" s="57" t="s">
        <v>210</v>
      </c>
      <c r="C36" s="68" t="s">
        <v>250</v>
      </c>
      <c r="D36" s="67">
        <v>52573973</v>
      </c>
      <c r="E36" s="67">
        <v>580367</v>
      </c>
      <c r="F36" s="64" t="s">
        <v>279</v>
      </c>
      <c r="G36" s="61">
        <v>96</v>
      </c>
    </row>
    <row r="37" spans="1:7" ht="15.75" thickBot="1" x14ac:dyDescent="0.3">
      <c r="A37" s="72" t="s">
        <v>58</v>
      </c>
      <c r="B37" s="58" t="s">
        <v>214</v>
      </c>
      <c r="C37" s="69" t="s">
        <v>217</v>
      </c>
      <c r="D37" s="67">
        <v>47076781</v>
      </c>
      <c r="E37" s="67">
        <v>505370</v>
      </c>
      <c r="F37" s="65" t="s">
        <v>271</v>
      </c>
      <c r="G37" s="62">
        <v>1394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Task 1</vt:lpstr>
      <vt:lpstr>Task 2</vt:lpstr>
      <vt:lpstr>Task 3</vt:lpstr>
      <vt:lpstr>Task 4</vt:lpstr>
      <vt:lpstr>Task 5</vt:lpstr>
      <vt:lpstr>Sheet4</vt:lpstr>
      <vt:lpstr>Sheet6</vt:lpstr>
      <vt:lpstr>Task 6</vt:lpstr>
      <vt:lpstr>Sheet3</vt:lpstr>
      <vt:lpstr>Task 7</vt:lpstr>
      <vt:lpstr>Task 8</vt:lpstr>
      <vt:lpstr>DV Range</vt:lpstr>
      <vt:lpstr>Task 9</vt:lpstr>
      <vt:lpstr>Task 10</vt:lpstr>
      <vt:lpstr>Hourly_Pay_Rate</vt:lpstr>
      <vt:lpstr>Nat_Ins_Rate</vt:lpstr>
      <vt:lpstr>Tax_Rate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User</dc:creator>
  <cp:lastModifiedBy>PC</cp:lastModifiedBy>
  <dcterms:created xsi:type="dcterms:W3CDTF">2023-11-06T18:07:56Z</dcterms:created>
  <dcterms:modified xsi:type="dcterms:W3CDTF">2023-11-19T02:33:41Z</dcterms:modified>
</cp:coreProperties>
</file>